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scripción" sheetId="2" r:id="rId5"/>
  </sheets>
  <definedNames/>
  <calcPr/>
  <extLst>
    <ext uri="GoogleSheetsCustomDataVersion2">
      <go:sheetsCustomData xmlns:go="http://customooxmlschemas.google.com/" r:id="rId6" roundtripDataChecksum="xOenyRntq8RbnRrYxNNsGMZkg4fgCIsI5ag0Y1tqA58="/>
    </ext>
  </extLst>
</workbook>
</file>

<file path=xl/sharedStrings.xml><?xml version="1.0" encoding="utf-8"?>
<sst xmlns="http://schemas.openxmlformats.org/spreadsheetml/2006/main" count="197" uniqueCount="120">
  <si>
    <t>Fecha</t>
  </si>
  <si>
    <t>ID_Voluntario</t>
  </si>
  <si>
    <t>ID_VFC</t>
  </si>
  <si>
    <t>ID_audio</t>
  </si>
  <si>
    <t>ID_video</t>
  </si>
  <si>
    <t>n_frames_VFC</t>
  </si>
  <si>
    <t>fs_VFC</t>
  </si>
  <si>
    <t>l_VFC</t>
  </si>
  <si>
    <t>ref_VFC</t>
  </si>
  <si>
    <t>ref_audio</t>
  </si>
  <si>
    <t>cut_i_audio</t>
  </si>
  <si>
    <t>cut_f_audio</t>
  </si>
  <si>
    <t>Sujeto 0</t>
  </si>
  <si>
    <t>Rec003.wav</t>
  </si>
  <si>
    <t>Sujeto 1</t>
  </si>
  <si>
    <t>00000001</t>
  </si>
  <si>
    <t>Rec005.wav</t>
  </si>
  <si>
    <t>Sujeto1_00000001.avi</t>
  </si>
  <si>
    <t>00000002</t>
  </si>
  <si>
    <t>Rec006.wav</t>
  </si>
  <si>
    <t>Sujeto1_00000002.avi</t>
  </si>
  <si>
    <t>00000003</t>
  </si>
  <si>
    <t>Sujeto1_00000003.avi</t>
  </si>
  <si>
    <t>00000004</t>
  </si>
  <si>
    <t>Sujeto1_00000004.avi</t>
  </si>
  <si>
    <t>Sujeto 2</t>
  </si>
  <si>
    <t>Rec008.wav</t>
  </si>
  <si>
    <t>Sujeto2_00000001.avi</t>
  </si>
  <si>
    <t>Rec010.wav</t>
  </si>
  <si>
    <t>Sujeto2_00000002.avi</t>
  </si>
  <si>
    <t xml:space="preserve">17.14*fs excede el largo del audio. </t>
  </si>
  <si>
    <t>Rec011.wav</t>
  </si>
  <si>
    <t>Sujeto2_00000003.avi</t>
  </si>
  <si>
    <t>14.96*fs excede el largo del audio.</t>
  </si>
  <si>
    <t>00000005</t>
  </si>
  <si>
    <t>Rec013.wav</t>
  </si>
  <si>
    <t>Sujeto2_00000005.avi</t>
  </si>
  <si>
    <t>26.17*fs excede el largo del audio.</t>
  </si>
  <si>
    <t>Sujeto 3</t>
  </si>
  <si>
    <t>Rec018.wav</t>
  </si>
  <si>
    <t>Sujeto3_00000001.avi</t>
  </si>
  <si>
    <t>Rec019.wav</t>
  </si>
  <si>
    <t>Sujeto3_00000002.avi</t>
  </si>
  <si>
    <t>Rec020.wav</t>
  </si>
  <si>
    <t>Sujeto3_00000003.avi</t>
  </si>
  <si>
    <t>21.84*fs excede el largo del audio.</t>
  </si>
  <si>
    <t>Rec022.wav</t>
  </si>
  <si>
    <t>Sujeto3_00000004.avi</t>
  </si>
  <si>
    <t>Revisar, no se escucha la deglución</t>
  </si>
  <si>
    <t>23.08 *fs excede el largo del audio. Según el txt es REC021</t>
  </si>
  <si>
    <t>Sujeto 4</t>
  </si>
  <si>
    <t>Rec023.wav</t>
  </si>
  <si>
    <t>Sujeto4_00000001.avi</t>
  </si>
  <si>
    <t>Rec024.wav</t>
  </si>
  <si>
    <t>Sujeto4_00000002.avi</t>
  </si>
  <si>
    <t>Sujeto4_00000003.avi</t>
  </si>
  <si>
    <t>Sujeto4_00000004.avi</t>
  </si>
  <si>
    <t>Sujeto 5</t>
  </si>
  <si>
    <t>00000000</t>
  </si>
  <si>
    <t>Rec026.wav</t>
  </si>
  <si>
    <t>Sujeto5_00000000.avi</t>
  </si>
  <si>
    <t>Rec027.wav</t>
  </si>
  <si>
    <t>Sujeto5_00000001.avi</t>
  </si>
  <si>
    <t>Sujeto5_00000002.avi</t>
  </si>
  <si>
    <t>Sujeto5_00000004.avi</t>
  </si>
  <si>
    <t>Paciente 1</t>
  </si>
  <si>
    <t>No hay datos de saliva</t>
  </si>
  <si>
    <t>Rec030.wav</t>
  </si>
  <si>
    <t>Paciente1_00000002.avi</t>
  </si>
  <si>
    <t>Rec029.wav</t>
  </si>
  <si>
    <t>Paciente1_00000003.avi</t>
  </si>
  <si>
    <t>Paciente1_00000004.avi</t>
  </si>
  <si>
    <t>17/01/2025</t>
  </si>
  <si>
    <t>Paciente 2 (Claudio Ramírez)</t>
  </si>
  <si>
    <t>IDDSI 0.mp4</t>
  </si>
  <si>
    <t>Rec056.wav</t>
  </si>
  <si>
    <t>Claudio Ramirez - IDDSI 0.mp4</t>
  </si>
  <si>
    <t>-</t>
  </si>
  <si>
    <t>No hay golpes de referencia. Se sincroniza con el primer tragado. Solo iddsi0</t>
  </si>
  <si>
    <t>IDDSI 2.mp4</t>
  </si>
  <si>
    <t>Claudio Ramirez - IDDSI 2.mp4</t>
  </si>
  <si>
    <t>IDDSI 4.mp4</t>
  </si>
  <si>
    <t>Claudio Ramirez - IDDSI 4.mp4</t>
  </si>
  <si>
    <t>22/01/2025</t>
  </si>
  <si>
    <t>Paciente 3 (Julia Solis)</t>
  </si>
  <si>
    <t>Rec060.wav</t>
  </si>
  <si>
    <t>Julia Solis - IDDSI 0.mp4</t>
  </si>
  <si>
    <t>Julia Solis - IDDSI 2.mp4</t>
  </si>
  <si>
    <t>Julia Solis - IDDSI 4.mp4</t>
  </si>
  <si>
    <t>Bastante ruido: voz y roce del equipo</t>
  </si>
  <si>
    <t>24/01/2025</t>
  </si>
  <si>
    <t>Paciente 4 (Francisco Tobar)</t>
  </si>
  <si>
    <t>Rec065.wav</t>
  </si>
  <si>
    <t>Francisco Tobar - IDDSI 0</t>
  </si>
  <si>
    <t>Falta el IDSSI 0. El mp4 del IDDSI 0 e IDSSI 2 son idénticos.</t>
  </si>
  <si>
    <t>Francisco Tobar - IDDSI 2</t>
  </si>
  <si>
    <t>Francisco Tobar - IDDSI 4</t>
  </si>
  <si>
    <t>Prácticamente no se escucha el tragado (quizás el micrófono no está haciebdo buen contacto con la piel)</t>
  </si>
  <si>
    <t>Paciente 5 (Francisco Vargas)</t>
  </si>
  <si>
    <t>Rec066.wav</t>
  </si>
  <si>
    <t>Francisco Vargas - IDDSI 0</t>
  </si>
  <si>
    <t>Francisco Vargas - IDDSI 2</t>
  </si>
  <si>
    <t>Francisco Vargas - IDDSI 4</t>
  </si>
  <si>
    <t>Paciente 6 (Carlos Corona)</t>
  </si>
  <si>
    <t>Rec068.wav</t>
  </si>
  <si>
    <t>Falta el IDSSI 0</t>
  </si>
  <si>
    <t>Carlos Corona - IDDSI 2</t>
  </si>
  <si>
    <t>Carlos Corona - IDDSI 4</t>
  </si>
  <si>
    <t>Fecha: Fecha en que se realizó la toma de muestras de VFC y audio</t>
  </si>
  <si>
    <t>ID_Voluntario: N° de sujeto</t>
  </si>
  <si>
    <t>ID_VFC: identificación o nombre de cada serie asociada al archivo DICOM de VFC</t>
  </si>
  <si>
    <t>ID_audio: identificación o nombre del archivo de registro de audio</t>
  </si>
  <si>
    <t>ID_video: identificación o nombre del archivo de video AVI creado a partir del DICOM</t>
  </si>
  <si>
    <t>n_frames_VFC: número de frames de la serie de VFC</t>
  </si>
  <si>
    <t>fs_VFC: frecuencia de muestreo de la captura de VFC</t>
  </si>
  <si>
    <t>l_VFC: Largo total de la serie de VFC en segundos</t>
  </si>
  <si>
    <t>ref_VFC: golpe de referencia con dedo índice en el registro de VFC en segundos con 2 cifras significativas</t>
  </si>
  <si>
    <t>ref_audio: golpe de referencia con dedo índice escuchado en el registro de audio en segundos con 2 cifras significativas</t>
  </si>
  <si>
    <t>cut_i_audio: tiempo para recorte al inicio del audio</t>
  </si>
  <si>
    <t>cut_f_audio: tiempo para recorte al final del audio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</si>
</sst>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&quot;-&quot;mm&quot;-&quot;dd"/>
    <numFmt numFmtId="165" formatCode="yyyy-mm-dd"/>
    <numFmt numFmtId="166" formatCode="M/d/yyyy"/>
    <numFmt numFmtId="167" formatCode="mm/dd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2" fillId="0" fontId="1" numFmtId="0" xfId="0" applyBorder="1" applyFont="1"/>
    <xf borderId="2" fillId="0" fontId="3" numFmtId="0" xfId="0" applyBorder="1" applyFont="1"/>
    <xf borderId="1" fillId="0" fontId="2" numFmtId="16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2" xfId="0" applyAlignment="1" applyBorder="1" applyFont="1" applyNumberFormat="1">
      <alignment vertical="center"/>
    </xf>
    <xf borderId="2" fillId="0" fontId="2" numFmtId="2" xfId="0" applyBorder="1" applyFont="1" applyNumberForma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2" numFmtId="165" xfId="0" applyAlignment="1" applyBorder="1" applyFont="1" applyNumberForma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2" fillId="0" fontId="1" numFmtId="0" xfId="0" applyBorder="1" applyFont="1"/>
    <xf borderId="2" fillId="2" fontId="1" numFmtId="0" xfId="0" applyAlignment="1" applyBorder="1" applyFill="1" applyFont="1">
      <alignment readingOrder="0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2" fillId="2" fontId="1" numFmtId="0" xfId="0" applyBorder="1" applyFont="1"/>
    <xf borderId="2" fillId="2" fontId="2" numFmtId="2" xfId="0" applyAlignment="1" applyBorder="1" applyFont="1" applyNumberFormat="1">
      <alignment vertical="center"/>
    </xf>
    <xf borderId="1" fillId="0" fontId="1" numFmtId="0" xfId="0" applyAlignment="1" applyBorder="1" applyFont="1">
      <alignment horizontal="right" readingOrder="0" vertical="center"/>
    </xf>
    <xf borderId="2" fillId="0" fontId="2" numFmtId="2" xfId="0" applyAlignment="1" applyBorder="1" applyFont="1" applyNumberFormat="1">
      <alignment readingOrder="0" vertical="center"/>
    </xf>
    <xf borderId="2" fillId="2" fontId="2" numFmtId="2" xfId="0" applyBorder="1" applyFont="1" applyNumberFormat="1"/>
    <xf borderId="1" fillId="0" fontId="1" numFmtId="167" xfId="0" applyAlignment="1" applyBorder="1" applyFont="1" applyNumberFormat="1">
      <alignment readingOrder="0" vertical="center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6.0"/>
    <col customWidth="1" min="3" max="3" width="14.43"/>
    <col customWidth="1" min="4" max="4" width="11.71"/>
    <col customWidth="1" min="5" max="5" width="27.0"/>
    <col customWidth="1" min="6" max="7" width="12.86"/>
    <col customWidth="1" min="8" max="8" width="11.71"/>
    <col customWidth="1" min="9" max="11" width="11.43"/>
    <col customWidth="1" min="12" max="12" width="11.57"/>
    <col customWidth="1" min="13" max="28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2" t="s">
        <v>8</v>
      </c>
      <c r="J1" s="2" t="s">
        <v>9</v>
      </c>
      <c r="K1" s="6" t="s">
        <v>10</v>
      </c>
      <c r="L1" s="6" t="s">
        <v>11</v>
      </c>
    </row>
    <row r="2" ht="14.25" customHeight="1">
      <c r="A2" s="7">
        <v>45532.0</v>
      </c>
      <c r="B2" s="8" t="s">
        <v>12</v>
      </c>
      <c r="C2" s="9">
        <v>1.0000007E7</v>
      </c>
      <c r="D2" s="3" t="s">
        <v>13</v>
      </c>
      <c r="E2" s="3"/>
      <c r="F2" s="3">
        <v>832.0</v>
      </c>
      <c r="G2" s="3">
        <v>30.0</v>
      </c>
      <c r="H2" s="10">
        <f t="shared" ref="H2:H24" si="1">F2/G2</f>
        <v>27.73333333</v>
      </c>
      <c r="I2" s="5">
        <v>1.23</v>
      </c>
      <c r="J2" s="5">
        <v>6.96</v>
      </c>
      <c r="K2" s="5">
        <f t="shared" ref="K2:K12" si="2">J2-I2</f>
        <v>5.73</v>
      </c>
      <c r="L2" s="11">
        <f t="shared" ref="L2:L12" si="3">K2+H2</f>
        <v>33.46333333</v>
      </c>
    </row>
    <row r="3" ht="14.25" customHeight="1">
      <c r="A3" s="12"/>
      <c r="B3" s="13"/>
      <c r="C3" s="9">
        <v>1.0000009E7</v>
      </c>
      <c r="D3" s="3" t="s">
        <v>13</v>
      </c>
      <c r="E3" s="5"/>
      <c r="F3" s="5">
        <v>761.0</v>
      </c>
      <c r="G3" s="3">
        <v>30.0</v>
      </c>
      <c r="H3" s="10">
        <f t="shared" si="1"/>
        <v>25.36666667</v>
      </c>
      <c r="I3" s="3">
        <v>1.27</v>
      </c>
      <c r="J3" s="3">
        <v>79.72</v>
      </c>
      <c r="K3" s="5">
        <f t="shared" si="2"/>
        <v>78.45</v>
      </c>
      <c r="L3" s="11">
        <f t="shared" si="3"/>
        <v>103.8166667</v>
      </c>
    </row>
    <row r="4" ht="14.25" customHeight="1">
      <c r="A4" s="14"/>
      <c r="B4" s="15"/>
      <c r="C4" s="9">
        <v>1.0000005E7</v>
      </c>
      <c r="D4" s="3" t="s">
        <v>13</v>
      </c>
      <c r="E4" s="5"/>
      <c r="F4" s="5">
        <v>829.0</v>
      </c>
      <c r="G4" s="5">
        <v>30.0</v>
      </c>
      <c r="H4" s="10">
        <f t="shared" si="1"/>
        <v>27.63333333</v>
      </c>
      <c r="I4" s="5">
        <v>0.83</v>
      </c>
      <c r="J4" s="5">
        <v>129.22</v>
      </c>
      <c r="K4" s="5">
        <f t="shared" si="2"/>
        <v>128.39</v>
      </c>
      <c r="L4" s="11">
        <f t="shared" si="3"/>
        <v>156.0233333</v>
      </c>
    </row>
    <row r="5" ht="14.25" customHeight="1">
      <c r="A5" s="16">
        <v>45548.0</v>
      </c>
      <c r="B5" s="8" t="s">
        <v>14</v>
      </c>
      <c r="C5" s="17" t="s">
        <v>15</v>
      </c>
      <c r="D5" s="4" t="s">
        <v>16</v>
      </c>
      <c r="E5" s="2" t="s">
        <v>17</v>
      </c>
      <c r="F5" s="2">
        <v>736.0</v>
      </c>
      <c r="G5" s="2">
        <v>30.0</v>
      </c>
      <c r="H5" s="10">
        <f t="shared" si="1"/>
        <v>24.53333333</v>
      </c>
      <c r="I5" s="2">
        <v>2.53</v>
      </c>
      <c r="J5" s="2">
        <v>6.53</v>
      </c>
      <c r="K5" s="5">
        <f t="shared" si="2"/>
        <v>4</v>
      </c>
      <c r="L5" s="11">
        <f t="shared" si="3"/>
        <v>28.53333333</v>
      </c>
    </row>
    <row r="6" ht="14.25" customHeight="1">
      <c r="A6" s="12"/>
      <c r="B6" s="13"/>
      <c r="C6" s="17" t="s">
        <v>18</v>
      </c>
      <c r="D6" s="2" t="s">
        <v>19</v>
      </c>
      <c r="E6" s="2" t="s">
        <v>20</v>
      </c>
      <c r="F6" s="2">
        <v>493.0</v>
      </c>
      <c r="G6" s="2">
        <v>30.0</v>
      </c>
      <c r="H6" s="10">
        <f t="shared" si="1"/>
        <v>16.43333333</v>
      </c>
      <c r="I6" s="2">
        <v>1.03</v>
      </c>
      <c r="J6" s="2">
        <v>4.7</v>
      </c>
      <c r="K6" s="5">
        <f t="shared" si="2"/>
        <v>3.67</v>
      </c>
      <c r="L6" s="11">
        <f t="shared" si="3"/>
        <v>20.10333333</v>
      </c>
    </row>
    <row r="7" ht="14.25" customHeight="1">
      <c r="A7" s="12"/>
      <c r="B7" s="13"/>
      <c r="C7" s="17" t="s">
        <v>21</v>
      </c>
      <c r="D7" s="2" t="s">
        <v>19</v>
      </c>
      <c r="E7" s="2" t="s">
        <v>22</v>
      </c>
      <c r="F7" s="18">
        <v>387.0</v>
      </c>
      <c r="G7" s="18">
        <v>30.0</v>
      </c>
      <c r="H7" s="10">
        <f t="shared" si="1"/>
        <v>12.9</v>
      </c>
      <c r="I7" s="18">
        <v>3.02</v>
      </c>
      <c r="J7" s="18">
        <v>37.45</v>
      </c>
      <c r="K7" s="5">
        <f t="shared" si="2"/>
        <v>34.43</v>
      </c>
      <c r="L7" s="11">
        <f t="shared" si="3"/>
        <v>47.33</v>
      </c>
    </row>
    <row r="8" ht="14.25" customHeight="1">
      <c r="A8" s="14"/>
      <c r="B8" s="15"/>
      <c r="C8" s="17" t="s">
        <v>23</v>
      </c>
      <c r="D8" s="2" t="s">
        <v>19</v>
      </c>
      <c r="E8" s="2" t="s">
        <v>24</v>
      </c>
      <c r="F8" s="2">
        <v>745.0</v>
      </c>
      <c r="G8" s="2">
        <v>30.0</v>
      </c>
      <c r="H8" s="10">
        <f t="shared" si="1"/>
        <v>24.83333333</v>
      </c>
      <c r="I8" s="2">
        <v>3.73</v>
      </c>
      <c r="J8" s="2">
        <v>60.4</v>
      </c>
      <c r="K8" s="5">
        <f t="shared" si="2"/>
        <v>56.67</v>
      </c>
      <c r="L8" s="11">
        <f t="shared" si="3"/>
        <v>81.50333333</v>
      </c>
    </row>
    <row r="9" ht="14.25" customHeight="1">
      <c r="A9" s="16">
        <v>45562.0</v>
      </c>
      <c r="B9" s="8" t="s">
        <v>25</v>
      </c>
      <c r="C9" s="17" t="s">
        <v>15</v>
      </c>
      <c r="D9" s="2" t="s">
        <v>26</v>
      </c>
      <c r="E9" s="2" t="s">
        <v>27</v>
      </c>
      <c r="F9" s="2">
        <v>203.0</v>
      </c>
      <c r="G9" s="5">
        <v>30.0</v>
      </c>
      <c r="H9" s="10">
        <f t="shared" si="1"/>
        <v>6.766666667</v>
      </c>
      <c r="I9" s="2">
        <v>0.87</v>
      </c>
      <c r="J9" s="2">
        <v>8.21</v>
      </c>
      <c r="K9" s="5">
        <f t="shared" si="2"/>
        <v>7.34</v>
      </c>
      <c r="L9" s="11">
        <f t="shared" si="3"/>
        <v>14.10666667</v>
      </c>
    </row>
    <row r="10" ht="14.25" customHeight="1">
      <c r="A10" s="12"/>
      <c r="B10" s="13"/>
      <c r="C10" s="17" t="s">
        <v>18</v>
      </c>
      <c r="D10" s="19" t="s">
        <v>28</v>
      </c>
      <c r="E10" s="2" t="s">
        <v>29</v>
      </c>
      <c r="F10" s="2">
        <v>465.0</v>
      </c>
      <c r="G10" s="5">
        <v>30.0</v>
      </c>
      <c r="H10" s="10">
        <f t="shared" si="1"/>
        <v>15.5</v>
      </c>
      <c r="I10" s="2">
        <v>0.32</v>
      </c>
      <c r="J10" s="2">
        <v>1.955</v>
      </c>
      <c r="K10" s="5">
        <f t="shared" si="2"/>
        <v>1.635</v>
      </c>
      <c r="L10" s="11">
        <f t="shared" si="3"/>
        <v>17.135</v>
      </c>
      <c r="M10" s="18" t="s">
        <v>30</v>
      </c>
    </row>
    <row r="11" ht="14.25" customHeight="1">
      <c r="A11" s="12"/>
      <c r="B11" s="13"/>
      <c r="C11" s="17" t="s">
        <v>21</v>
      </c>
      <c r="D11" s="19" t="s">
        <v>31</v>
      </c>
      <c r="E11" s="2" t="s">
        <v>32</v>
      </c>
      <c r="F11" s="2">
        <v>391.0</v>
      </c>
      <c r="G11" s="5">
        <v>30.0</v>
      </c>
      <c r="H11" s="10">
        <f t="shared" si="1"/>
        <v>13.03333333</v>
      </c>
      <c r="I11" s="2">
        <v>2.69</v>
      </c>
      <c r="J11" s="2">
        <v>4.617</v>
      </c>
      <c r="K11" s="5">
        <f t="shared" si="2"/>
        <v>1.927</v>
      </c>
      <c r="L11" s="11">
        <f t="shared" si="3"/>
        <v>14.96033333</v>
      </c>
      <c r="M11" s="18" t="s">
        <v>33</v>
      </c>
    </row>
    <row r="12" ht="14.25" customHeight="1">
      <c r="A12" s="12"/>
      <c r="B12" s="15"/>
      <c r="C12" s="17" t="s">
        <v>34</v>
      </c>
      <c r="D12" s="19" t="s">
        <v>35</v>
      </c>
      <c r="E12" s="2" t="s">
        <v>36</v>
      </c>
      <c r="F12" s="2">
        <v>741.0</v>
      </c>
      <c r="G12" s="5">
        <v>30.0</v>
      </c>
      <c r="H12" s="10">
        <f t="shared" si="1"/>
        <v>24.7</v>
      </c>
      <c r="I12" s="2">
        <v>1.87</v>
      </c>
      <c r="J12" s="2">
        <v>3.34</v>
      </c>
      <c r="K12" s="5">
        <f t="shared" si="2"/>
        <v>1.47</v>
      </c>
      <c r="L12" s="11">
        <f t="shared" si="3"/>
        <v>26.17</v>
      </c>
      <c r="M12" s="18" t="s">
        <v>37</v>
      </c>
    </row>
    <row r="13" ht="14.25" customHeight="1">
      <c r="A13" s="12"/>
      <c r="B13" s="8" t="s">
        <v>38</v>
      </c>
      <c r="C13" s="17" t="s">
        <v>15</v>
      </c>
      <c r="D13" s="2" t="s">
        <v>39</v>
      </c>
      <c r="E13" s="2" t="s">
        <v>40</v>
      </c>
      <c r="F13" s="2">
        <v>198.0</v>
      </c>
      <c r="G13" s="5">
        <v>30.0</v>
      </c>
      <c r="H13" s="10">
        <f t="shared" si="1"/>
        <v>6.6</v>
      </c>
      <c r="I13" s="20"/>
      <c r="J13" s="20"/>
      <c r="K13" s="20"/>
      <c r="L13" s="20"/>
    </row>
    <row r="14" ht="14.25" customHeight="1">
      <c r="A14" s="12"/>
      <c r="B14" s="13"/>
      <c r="C14" s="17" t="s">
        <v>18</v>
      </c>
      <c r="D14" s="2" t="s">
        <v>41</v>
      </c>
      <c r="E14" s="2" t="s">
        <v>42</v>
      </c>
      <c r="F14" s="2">
        <v>562.0</v>
      </c>
      <c r="G14" s="5">
        <v>30.0</v>
      </c>
      <c r="H14" s="10">
        <f t="shared" si="1"/>
        <v>18.73333333</v>
      </c>
      <c r="I14" s="2">
        <v>1.23</v>
      </c>
      <c r="J14" s="2">
        <v>1.87</v>
      </c>
      <c r="K14" s="5">
        <f t="shared" ref="K14:K24" si="4">J14-I14</f>
        <v>0.64</v>
      </c>
      <c r="L14" s="11">
        <f t="shared" ref="L14:L24" si="5">K14+H14</f>
        <v>19.37333333</v>
      </c>
    </row>
    <row r="15" ht="14.25" customHeight="1">
      <c r="A15" s="12"/>
      <c r="B15" s="13"/>
      <c r="C15" s="17" t="s">
        <v>21</v>
      </c>
      <c r="D15" s="2" t="s">
        <v>43</v>
      </c>
      <c r="E15" s="2" t="s">
        <v>44</v>
      </c>
      <c r="F15" s="2">
        <v>653.0</v>
      </c>
      <c r="G15" s="5">
        <v>30.0</v>
      </c>
      <c r="H15" s="10">
        <f t="shared" si="1"/>
        <v>21.76666667</v>
      </c>
      <c r="I15" s="2">
        <v>0.95</v>
      </c>
      <c r="J15" s="2">
        <v>1.02</v>
      </c>
      <c r="K15" s="5">
        <f t="shared" si="4"/>
        <v>0.07</v>
      </c>
      <c r="L15" s="11">
        <f t="shared" si="5"/>
        <v>21.83666667</v>
      </c>
      <c r="M15" s="18" t="s">
        <v>45</v>
      </c>
    </row>
    <row r="16" ht="14.25" customHeight="1">
      <c r="A16" s="14"/>
      <c r="B16" s="15"/>
      <c r="C16" s="17" t="s">
        <v>23</v>
      </c>
      <c r="D16" s="2" t="s">
        <v>46</v>
      </c>
      <c r="E16" s="2" t="s">
        <v>47</v>
      </c>
      <c r="F16" s="2">
        <v>685.0</v>
      </c>
      <c r="G16" s="5">
        <v>30.0</v>
      </c>
      <c r="H16" s="10">
        <f t="shared" si="1"/>
        <v>22.83333333</v>
      </c>
      <c r="I16" s="2">
        <v>1.41</v>
      </c>
      <c r="J16" s="2">
        <v>1.66</v>
      </c>
      <c r="K16" s="5">
        <f t="shared" si="4"/>
        <v>0.25</v>
      </c>
      <c r="L16" s="11">
        <f t="shared" si="5"/>
        <v>23.08333333</v>
      </c>
      <c r="M16" s="18" t="s">
        <v>48</v>
      </c>
      <c r="N16" s="18" t="s">
        <v>49</v>
      </c>
    </row>
    <row r="17" ht="14.25" customHeight="1">
      <c r="A17" s="21">
        <v>45569.0</v>
      </c>
      <c r="B17" s="22" t="s">
        <v>50</v>
      </c>
      <c r="C17" s="17" t="s">
        <v>15</v>
      </c>
      <c r="D17" s="2" t="s">
        <v>51</v>
      </c>
      <c r="E17" s="2" t="s">
        <v>52</v>
      </c>
      <c r="F17" s="2">
        <v>180.0</v>
      </c>
      <c r="G17" s="2">
        <v>30.0</v>
      </c>
      <c r="H17" s="10">
        <f t="shared" si="1"/>
        <v>6</v>
      </c>
      <c r="I17" s="2">
        <v>4.12</v>
      </c>
      <c r="J17" s="2">
        <v>49.78</v>
      </c>
      <c r="K17" s="5">
        <f t="shared" si="4"/>
        <v>45.66</v>
      </c>
      <c r="L17" s="11">
        <f t="shared" si="5"/>
        <v>51.66</v>
      </c>
    </row>
    <row r="18" ht="14.25" customHeight="1">
      <c r="A18" s="12"/>
      <c r="B18" s="12"/>
      <c r="C18" s="17" t="s">
        <v>18</v>
      </c>
      <c r="D18" s="2" t="s">
        <v>53</v>
      </c>
      <c r="E18" s="2" t="s">
        <v>54</v>
      </c>
      <c r="F18" s="2">
        <v>497.0</v>
      </c>
      <c r="G18" s="2">
        <v>30.0</v>
      </c>
      <c r="H18" s="10">
        <f t="shared" si="1"/>
        <v>16.56666667</v>
      </c>
      <c r="I18" s="2">
        <v>1.62</v>
      </c>
      <c r="J18" s="2">
        <v>34.0</v>
      </c>
      <c r="K18" s="5">
        <f t="shared" si="4"/>
        <v>32.38</v>
      </c>
      <c r="L18" s="11">
        <f t="shared" si="5"/>
        <v>48.94666667</v>
      </c>
    </row>
    <row r="19" ht="14.25" customHeight="1">
      <c r="A19" s="12"/>
      <c r="B19" s="12"/>
      <c r="C19" s="17" t="s">
        <v>21</v>
      </c>
      <c r="D19" s="2" t="s">
        <v>53</v>
      </c>
      <c r="E19" s="2" t="s">
        <v>55</v>
      </c>
      <c r="F19" s="2">
        <v>487.0</v>
      </c>
      <c r="G19" s="2">
        <v>30.0</v>
      </c>
      <c r="H19" s="10">
        <f t="shared" si="1"/>
        <v>16.23333333</v>
      </c>
      <c r="I19" s="2">
        <v>1.7</v>
      </c>
      <c r="J19" s="2">
        <v>75.64</v>
      </c>
      <c r="K19" s="5">
        <f t="shared" si="4"/>
        <v>73.94</v>
      </c>
      <c r="L19" s="11">
        <f t="shared" si="5"/>
        <v>90.17333333</v>
      </c>
    </row>
    <row r="20" ht="14.25" customHeight="1">
      <c r="A20" s="14"/>
      <c r="B20" s="14"/>
      <c r="C20" s="17" t="s">
        <v>23</v>
      </c>
      <c r="D20" s="2" t="s">
        <v>53</v>
      </c>
      <c r="E20" s="2" t="s">
        <v>56</v>
      </c>
      <c r="F20" s="2">
        <v>753.0</v>
      </c>
      <c r="G20" s="2">
        <v>30.0</v>
      </c>
      <c r="H20" s="10">
        <f t="shared" si="1"/>
        <v>25.1</v>
      </c>
      <c r="I20" s="2">
        <v>1.48</v>
      </c>
      <c r="J20" s="2">
        <v>129.93</v>
      </c>
      <c r="K20" s="5">
        <f t="shared" si="4"/>
        <v>128.45</v>
      </c>
      <c r="L20" s="11">
        <f t="shared" si="5"/>
        <v>153.55</v>
      </c>
    </row>
    <row r="21" ht="14.25" customHeight="1">
      <c r="A21" s="21">
        <v>45569.0</v>
      </c>
      <c r="B21" s="22" t="s">
        <v>57</v>
      </c>
      <c r="C21" s="17" t="s">
        <v>58</v>
      </c>
      <c r="D21" s="2" t="s">
        <v>59</v>
      </c>
      <c r="E21" s="2" t="s">
        <v>60</v>
      </c>
      <c r="F21" s="2">
        <v>202.0</v>
      </c>
      <c r="G21" s="2">
        <v>30.0</v>
      </c>
      <c r="H21" s="10">
        <f t="shared" si="1"/>
        <v>6.733333333</v>
      </c>
      <c r="I21" s="2">
        <v>1.29</v>
      </c>
      <c r="J21" s="2">
        <v>24.21</v>
      </c>
      <c r="K21" s="5">
        <f t="shared" si="4"/>
        <v>22.92</v>
      </c>
      <c r="L21" s="11">
        <f t="shared" si="5"/>
        <v>29.65333333</v>
      </c>
    </row>
    <row r="22" ht="14.25" customHeight="1">
      <c r="A22" s="12"/>
      <c r="B22" s="12"/>
      <c r="C22" s="17" t="s">
        <v>15</v>
      </c>
      <c r="D22" s="2" t="s">
        <v>61</v>
      </c>
      <c r="E22" s="2" t="s">
        <v>62</v>
      </c>
      <c r="F22" s="2">
        <v>486.0</v>
      </c>
      <c r="G22" s="2">
        <v>30.0</v>
      </c>
      <c r="H22" s="10">
        <f t="shared" si="1"/>
        <v>16.2</v>
      </c>
      <c r="I22" s="2">
        <v>0.86</v>
      </c>
      <c r="J22" s="2">
        <v>32.02</v>
      </c>
      <c r="K22" s="5">
        <f t="shared" si="4"/>
        <v>31.16</v>
      </c>
      <c r="L22" s="11">
        <f t="shared" si="5"/>
        <v>47.36</v>
      </c>
    </row>
    <row r="23" ht="14.25" customHeight="1">
      <c r="A23" s="12"/>
      <c r="B23" s="12"/>
      <c r="C23" s="17" t="s">
        <v>18</v>
      </c>
      <c r="D23" s="2" t="s">
        <v>61</v>
      </c>
      <c r="E23" s="2" t="s">
        <v>63</v>
      </c>
      <c r="F23" s="2">
        <v>454.0</v>
      </c>
      <c r="G23" s="2">
        <v>30.0</v>
      </c>
      <c r="H23" s="10">
        <f t="shared" si="1"/>
        <v>15.13333333</v>
      </c>
      <c r="I23" s="2">
        <v>1.44</v>
      </c>
      <c r="J23" s="2">
        <v>93.93</v>
      </c>
      <c r="K23" s="5">
        <f t="shared" si="4"/>
        <v>92.49</v>
      </c>
      <c r="L23" s="11">
        <f t="shared" si="5"/>
        <v>107.6233333</v>
      </c>
    </row>
    <row r="24" ht="14.25" customHeight="1">
      <c r="A24" s="14"/>
      <c r="B24" s="14"/>
      <c r="C24" s="17" t="s">
        <v>23</v>
      </c>
      <c r="D24" s="2" t="s">
        <v>61</v>
      </c>
      <c r="E24" s="2" t="s">
        <v>64</v>
      </c>
      <c r="F24" s="2">
        <v>812.0</v>
      </c>
      <c r="G24" s="2">
        <v>30.0</v>
      </c>
      <c r="H24" s="10">
        <f t="shared" si="1"/>
        <v>27.06666667</v>
      </c>
      <c r="I24" s="2">
        <v>0.75</v>
      </c>
      <c r="J24" s="2">
        <v>140.9</v>
      </c>
      <c r="K24" s="5">
        <f t="shared" si="4"/>
        <v>140.15</v>
      </c>
      <c r="L24" s="11">
        <f t="shared" si="5"/>
        <v>167.2166667</v>
      </c>
    </row>
    <row r="25" ht="14.25" customHeight="1">
      <c r="A25" s="21">
        <v>45588.0</v>
      </c>
      <c r="B25" s="23" t="s">
        <v>65</v>
      </c>
      <c r="C25" s="17" t="s">
        <v>15</v>
      </c>
      <c r="D25" s="24"/>
      <c r="E25" s="24"/>
      <c r="F25" s="24"/>
      <c r="G25" s="24"/>
      <c r="H25" s="25"/>
      <c r="I25" s="24"/>
      <c r="J25" s="24"/>
      <c r="K25" s="24"/>
      <c r="L25" s="24"/>
      <c r="M25" s="18" t="s">
        <v>66</v>
      </c>
    </row>
    <row r="26" ht="14.25" customHeight="1">
      <c r="A26" s="12"/>
      <c r="B26" s="12"/>
      <c r="C26" s="17" t="s">
        <v>18</v>
      </c>
      <c r="D26" s="2" t="s">
        <v>67</v>
      </c>
      <c r="E26" s="2" t="s">
        <v>68</v>
      </c>
      <c r="F26" s="2">
        <v>1380.0</v>
      </c>
      <c r="G26" s="2">
        <v>30.0</v>
      </c>
      <c r="H26" s="10">
        <f t="shared" ref="H26:H28" si="6">F26/G26</f>
        <v>46</v>
      </c>
      <c r="I26" s="2">
        <v>2.21</v>
      </c>
      <c r="J26" s="2">
        <v>18.77</v>
      </c>
      <c r="K26" s="5">
        <f t="shared" ref="K26:K34" si="7">J26-I26</f>
        <v>16.56</v>
      </c>
      <c r="L26" s="11">
        <f t="shared" ref="L26:L34" si="8">K26+H26</f>
        <v>62.56</v>
      </c>
    </row>
    <row r="27" ht="14.25" customHeight="1">
      <c r="A27" s="12"/>
      <c r="B27" s="12"/>
      <c r="C27" s="17" t="s">
        <v>21</v>
      </c>
      <c r="D27" s="2" t="s">
        <v>69</v>
      </c>
      <c r="E27" s="2" t="s">
        <v>70</v>
      </c>
      <c r="F27" s="2">
        <v>1111.0</v>
      </c>
      <c r="G27" s="2">
        <v>30.0</v>
      </c>
      <c r="H27" s="10">
        <f t="shared" si="6"/>
        <v>37.03333333</v>
      </c>
      <c r="I27" s="2">
        <v>0.57</v>
      </c>
      <c r="J27" s="2">
        <v>48.68</v>
      </c>
      <c r="K27" s="5">
        <f t="shared" si="7"/>
        <v>48.11</v>
      </c>
      <c r="L27" s="11">
        <f t="shared" si="8"/>
        <v>85.14333333</v>
      </c>
    </row>
    <row r="28" ht="14.25" customHeight="1">
      <c r="A28" s="14"/>
      <c r="B28" s="14"/>
      <c r="C28" s="17" t="s">
        <v>23</v>
      </c>
      <c r="D28" s="2" t="s">
        <v>69</v>
      </c>
      <c r="E28" s="2" t="s">
        <v>71</v>
      </c>
      <c r="F28" s="2">
        <v>1776.0</v>
      </c>
      <c r="G28" s="2">
        <v>30.0</v>
      </c>
      <c r="H28" s="10">
        <f t="shared" si="6"/>
        <v>59.2</v>
      </c>
      <c r="I28" s="2">
        <v>0.93</v>
      </c>
      <c r="J28" s="2">
        <v>141.74</v>
      </c>
      <c r="K28" s="5">
        <f t="shared" si="7"/>
        <v>140.81</v>
      </c>
      <c r="L28" s="11">
        <f t="shared" si="8"/>
        <v>200.01</v>
      </c>
    </row>
    <row r="29" ht="14.25" customHeight="1">
      <c r="A29" s="23" t="s">
        <v>72</v>
      </c>
      <c r="B29" s="26" t="s">
        <v>73</v>
      </c>
      <c r="C29" s="17" t="s">
        <v>74</v>
      </c>
      <c r="D29" s="2" t="s">
        <v>75</v>
      </c>
      <c r="E29" s="2" t="s">
        <v>76</v>
      </c>
      <c r="F29" s="2" t="s">
        <v>77</v>
      </c>
      <c r="G29" s="2" t="s">
        <v>77</v>
      </c>
      <c r="H29" s="27">
        <v>28.34</v>
      </c>
      <c r="I29" s="2">
        <v>8.01</v>
      </c>
      <c r="J29" s="2">
        <v>123.05</v>
      </c>
      <c r="K29" s="5">
        <f t="shared" si="7"/>
        <v>115.04</v>
      </c>
      <c r="L29" s="11">
        <f t="shared" si="8"/>
        <v>143.38</v>
      </c>
      <c r="M29" s="18" t="s">
        <v>78</v>
      </c>
    </row>
    <row r="30" ht="14.25" customHeight="1">
      <c r="A30" s="12"/>
      <c r="B30" s="12"/>
      <c r="C30" s="17" t="s">
        <v>79</v>
      </c>
      <c r="D30" s="2" t="s">
        <v>75</v>
      </c>
      <c r="E30" s="2" t="s">
        <v>80</v>
      </c>
      <c r="F30" s="2" t="s">
        <v>77</v>
      </c>
      <c r="G30" s="2" t="s">
        <v>77</v>
      </c>
      <c r="H30" s="27">
        <v>36.795</v>
      </c>
      <c r="I30" s="2">
        <v>0.2</v>
      </c>
      <c r="J30" s="2">
        <v>203.3</v>
      </c>
      <c r="K30" s="5">
        <f t="shared" si="7"/>
        <v>203.1</v>
      </c>
      <c r="L30" s="11">
        <f t="shared" si="8"/>
        <v>239.895</v>
      </c>
    </row>
    <row r="31" ht="14.25" customHeight="1">
      <c r="A31" s="14"/>
      <c r="B31" s="14"/>
      <c r="C31" s="17" t="s">
        <v>81</v>
      </c>
      <c r="D31" s="2" t="s">
        <v>75</v>
      </c>
      <c r="E31" s="2" t="s">
        <v>82</v>
      </c>
      <c r="F31" s="2" t="s">
        <v>77</v>
      </c>
      <c r="G31" s="2" t="s">
        <v>77</v>
      </c>
      <c r="H31" s="27">
        <v>41.88</v>
      </c>
      <c r="I31" s="2">
        <v>0.7</v>
      </c>
      <c r="J31" s="2">
        <v>299.9</v>
      </c>
      <c r="K31" s="5">
        <f t="shared" si="7"/>
        <v>299.2</v>
      </c>
      <c r="L31" s="11">
        <f t="shared" si="8"/>
        <v>341.08</v>
      </c>
    </row>
    <row r="32" ht="14.25" customHeight="1">
      <c r="A32" s="23" t="s">
        <v>83</v>
      </c>
      <c r="B32" s="23" t="s">
        <v>84</v>
      </c>
      <c r="C32" s="17" t="s">
        <v>74</v>
      </c>
      <c r="D32" s="2" t="s">
        <v>85</v>
      </c>
      <c r="E32" s="2" t="s">
        <v>86</v>
      </c>
      <c r="F32" s="2" t="s">
        <v>77</v>
      </c>
      <c r="G32" s="2" t="s">
        <v>77</v>
      </c>
      <c r="H32" s="2">
        <v>37.45</v>
      </c>
      <c r="I32" s="2">
        <v>2.97</v>
      </c>
      <c r="J32" s="2">
        <v>4.63</v>
      </c>
      <c r="K32" s="5">
        <f t="shared" si="7"/>
        <v>1.66</v>
      </c>
      <c r="L32" s="11">
        <f t="shared" si="8"/>
        <v>39.11</v>
      </c>
    </row>
    <row r="33" ht="14.25" customHeight="1">
      <c r="A33" s="12"/>
      <c r="B33" s="12"/>
      <c r="C33" s="17" t="s">
        <v>79</v>
      </c>
      <c r="D33" s="2" t="s">
        <v>85</v>
      </c>
      <c r="E33" s="2" t="s">
        <v>87</v>
      </c>
      <c r="F33" s="2" t="s">
        <v>77</v>
      </c>
      <c r="G33" s="2" t="s">
        <v>77</v>
      </c>
      <c r="H33" s="2">
        <v>22.14</v>
      </c>
      <c r="I33" s="2">
        <v>1.27</v>
      </c>
      <c r="J33" s="2">
        <v>95.57</v>
      </c>
      <c r="K33" s="5">
        <f t="shared" si="7"/>
        <v>94.3</v>
      </c>
      <c r="L33" s="11">
        <f t="shared" si="8"/>
        <v>116.44</v>
      </c>
    </row>
    <row r="34" ht="14.25" customHeight="1">
      <c r="A34" s="14"/>
      <c r="B34" s="14"/>
      <c r="C34" s="17" t="s">
        <v>81</v>
      </c>
      <c r="D34" s="2" t="s">
        <v>85</v>
      </c>
      <c r="E34" s="2" t="s">
        <v>88</v>
      </c>
      <c r="F34" s="2" t="s">
        <v>77</v>
      </c>
      <c r="G34" s="2" t="s">
        <v>77</v>
      </c>
      <c r="H34" s="2">
        <v>45.57</v>
      </c>
      <c r="I34" s="2">
        <v>1.24</v>
      </c>
      <c r="J34" s="2">
        <v>257.01</v>
      </c>
      <c r="K34" s="5">
        <f t="shared" si="7"/>
        <v>255.77</v>
      </c>
      <c r="L34" s="11">
        <f t="shared" si="8"/>
        <v>301.34</v>
      </c>
      <c r="M34" s="18" t="s">
        <v>89</v>
      </c>
    </row>
    <row r="35" ht="14.25" customHeight="1">
      <c r="A35" s="23" t="s">
        <v>90</v>
      </c>
      <c r="B35" s="23" t="s">
        <v>91</v>
      </c>
      <c r="C35" s="17" t="s">
        <v>74</v>
      </c>
      <c r="D35" s="2" t="s">
        <v>92</v>
      </c>
      <c r="E35" s="2" t="s">
        <v>93</v>
      </c>
      <c r="F35" s="2" t="s">
        <v>77</v>
      </c>
      <c r="G35" s="2" t="s">
        <v>77</v>
      </c>
      <c r="H35" s="20"/>
      <c r="I35" s="20"/>
      <c r="J35" s="20"/>
      <c r="K35" s="24"/>
      <c r="L35" s="28"/>
      <c r="M35" s="18" t="s">
        <v>94</v>
      </c>
    </row>
    <row r="36" ht="14.25" customHeight="1">
      <c r="A36" s="12"/>
      <c r="B36" s="12"/>
      <c r="C36" s="17" t="s">
        <v>79</v>
      </c>
      <c r="D36" s="2" t="s">
        <v>92</v>
      </c>
      <c r="E36" s="2" t="s">
        <v>95</v>
      </c>
      <c r="F36" s="2" t="s">
        <v>77</v>
      </c>
      <c r="G36" s="2" t="s">
        <v>77</v>
      </c>
      <c r="H36" s="2">
        <v>52.21</v>
      </c>
      <c r="I36" s="2">
        <v>3.13</v>
      </c>
      <c r="J36" s="2">
        <v>169.25</v>
      </c>
      <c r="K36" s="5">
        <f t="shared" ref="K36:K40" si="9">J36-I36</f>
        <v>166.12</v>
      </c>
      <c r="L36" s="11">
        <f t="shared" ref="L36:L40" si="10">K36+H36</f>
        <v>218.33</v>
      </c>
    </row>
    <row r="37" ht="14.25" customHeight="1">
      <c r="A37" s="14"/>
      <c r="B37" s="14"/>
      <c r="C37" s="17" t="s">
        <v>81</v>
      </c>
      <c r="D37" s="2" t="s">
        <v>92</v>
      </c>
      <c r="E37" s="2" t="s">
        <v>96</v>
      </c>
      <c r="F37" s="2" t="s">
        <v>77</v>
      </c>
      <c r="G37" s="2" t="s">
        <v>77</v>
      </c>
      <c r="H37" s="2">
        <v>40.16</v>
      </c>
      <c r="I37" s="2">
        <v>1.28</v>
      </c>
      <c r="J37" s="2">
        <v>287.93</v>
      </c>
      <c r="K37" s="5">
        <f t="shared" si="9"/>
        <v>286.65</v>
      </c>
      <c r="L37" s="11">
        <f t="shared" si="10"/>
        <v>326.81</v>
      </c>
      <c r="M37" s="18" t="s">
        <v>97</v>
      </c>
    </row>
    <row r="38" ht="14.25" customHeight="1">
      <c r="A38" s="23" t="s">
        <v>90</v>
      </c>
      <c r="B38" s="23" t="s">
        <v>98</v>
      </c>
      <c r="C38" s="17" t="s">
        <v>74</v>
      </c>
      <c r="D38" s="2" t="s">
        <v>99</v>
      </c>
      <c r="E38" s="2" t="s">
        <v>100</v>
      </c>
      <c r="F38" s="2" t="s">
        <v>77</v>
      </c>
      <c r="G38" s="2" t="s">
        <v>77</v>
      </c>
      <c r="H38" s="2">
        <v>21.32</v>
      </c>
      <c r="I38" s="2">
        <v>1.11</v>
      </c>
      <c r="J38" s="2">
        <v>90.71</v>
      </c>
      <c r="K38" s="5">
        <f t="shared" si="9"/>
        <v>89.6</v>
      </c>
      <c r="L38" s="11">
        <f t="shared" si="10"/>
        <v>110.92</v>
      </c>
    </row>
    <row r="39" ht="14.25" customHeight="1">
      <c r="A39" s="12"/>
      <c r="B39" s="12"/>
      <c r="C39" s="17" t="s">
        <v>79</v>
      </c>
      <c r="D39" s="2" t="s">
        <v>99</v>
      </c>
      <c r="E39" s="2" t="s">
        <v>101</v>
      </c>
      <c r="F39" s="2" t="s">
        <v>77</v>
      </c>
      <c r="G39" s="2" t="s">
        <v>77</v>
      </c>
      <c r="H39" s="2">
        <v>54.42</v>
      </c>
      <c r="I39" s="2">
        <v>0.31</v>
      </c>
      <c r="J39" s="2">
        <v>228.4</v>
      </c>
      <c r="K39" s="5">
        <f t="shared" si="9"/>
        <v>228.09</v>
      </c>
      <c r="L39" s="11">
        <f t="shared" si="10"/>
        <v>282.51</v>
      </c>
    </row>
    <row r="40" ht="14.25" customHeight="1">
      <c r="A40" s="14"/>
      <c r="B40" s="14"/>
      <c r="C40" s="17" t="s">
        <v>81</v>
      </c>
      <c r="D40" s="2" t="s">
        <v>99</v>
      </c>
      <c r="E40" s="2" t="s">
        <v>102</v>
      </c>
      <c r="F40" s="2" t="s">
        <v>77</v>
      </c>
      <c r="G40" s="2" t="s">
        <v>77</v>
      </c>
      <c r="H40" s="2">
        <v>59.37</v>
      </c>
      <c r="I40" s="2">
        <v>0.59</v>
      </c>
      <c r="J40" s="2">
        <v>634.55</v>
      </c>
      <c r="K40" s="5">
        <f t="shared" si="9"/>
        <v>633.96</v>
      </c>
      <c r="L40" s="11">
        <f t="shared" si="10"/>
        <v>693.33</v>
      </c>
    </row>
    <row r="41" ht="14.25" customHeight="1">
      <c r="A41" s="29">
        <v>45840.0</v>
      </c>
      <c r="B41" s="23" t="s">
        <v>103</v>
      </c>
      <c r="C41" s="17" t="s">
        <v>74</v>
      </c>
      <c r="D41" s="2" t="s">
        <v>104</v>
      </c>
      <c r="E41" s="5"/>
      <c r="F41" s="5"/>
      <c r="G41" s="5"/>
      <c r="H41" s="24"/>
      <c r="I41" s="24"/>
      <c r="J41" s="24"/>
      <c r="K41" s="24"/>
      <c r="L41" s="28"/>
      <c r="M41" s="18" t="s">
        <v>105</v>
      </c>
    </row>
    <row r="42" ht="14.25" customHeight="1">
      <c r="A42" s="12"/>
      <c r="B42" s="12"/>
      <c r="C42" s="17" t="s">
        <v>79</v>
      </c>
      <c r="D42" s="2" t="s">
        <v>104</v>
      </c>
      <c r="E42" s="2" t="s">
        <v>106</v>
      </c>
      <c r="F42" s="2" t="s">
        <v>77</v>
      </c>
      <c r="G42" s="2" t="s">
        <v>77</v>
      </c>
      <c r="H42" s="2">
        <v>32.14</v>
      </c>
      <c r="I42" s="2">
        <v>1.22</v>
      </c>
      <c r="J42" s="2">
        <v>98.68</v>
      </c>
      <c r="K42" s="5">
        <f t="shared" ref="K42:K43" si="11">J42-I42</f>
        <v>97.46</v>
      </c>
      <c r="L42" s="11">
        <f t="shared" ref="L42:L43" si="12">K42+H42</f>
        <v>129.6</v>
      </c>
    </row>
    <row r="43" ht="14.25" customHeight="1">
      <c r="A43" s="14"/>
      <c r="B43" s="14"/>
      <c r="C43" s="17" t="s">
        <v>81</v>
      </c>
      <c r="D43" s="2" t="s">
        <v>104</v>
      </c>
      <c r="E43" s="2" t="s">
        <v>107</v>
      </c>
      <c r="F43" s="2" t="s">
        <v>77</v>
      </c>
      <c r="G43" s="2" t="s">
        <v>77</v>
      </c>
      <c r="H43" s="2">
        <v>38.74</v>
      </c>
      <c r="I43" s="2">
        <v>0.25</v>
      </c>
      <c r="J43" s="2">
        <v>157.28</v>
      </c>
      <c r="K43" s="5">
        <f t="shared" si="11"/>
        <v>157.03</v>
      </c>
      <c r="L43" s="11">
        <f t="shared" si="12"/>
        <v>195.77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23">
    <mergeCell ref="A2:A4"/>
    <mergeCell ref="B2:B4"/>
    <mergeCell ref="A5:A8"/>
    <mergeCell ref="B5:B8"/>
    <mergeCell ref="A9:A16"/>
    <mergeCell ref="B9:B12"/>
    <mergeCell ref="B13:B16"/>
    <mergeCell ref="A29:A31"/>
    <mergeCell ref="A32:A34"/>
    <mergeCell ref="A35:A37"/>
    <mergeCell ref="A38:A40"/>
    <mergeCell ref="A41:A43"/>
    <mergeCell ref="B32:B34"/>
    <mergeCell ref="B35:B37"/>
    <mergeCell ref="B38:B40"/>
    <mergeCell ref="B41:B43"/>
    <mergeCell ref="A17:A20"/>
    <mergeCell ref="B17:B20"/>
    <mergeCell ref="A21:A24"/>
    <mergeCell ref="B21:B24"/>
    <mergeCell ref="A25:A28"/>
    <mergeCell ref="B25:B28"/>
    <mergeCell ref="B29:B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9.57"/>
    <col customWidth="1" min="3" max="26" width="8.71"/>
  </cols>
  <sheetData>
    <row r="1" ht="14.25" customHeight="1">
      <c r="B1" s="18" t="s">
        <v>108</v>
      </c>
    </row>
    <row r="2" ht="14.25" customHeight="1">
      <c r="B2" s="18" t="s">
        <v>109</v>
      </c>
    </row>
    <row r="3" ht="14.25" customHeight="1">
      <c r="B3" s="30" t="s">
        <v>110</v>
      </c>
    </row>
    <row r="4" ht="14.25" customHeight="1">
      <c r="B4" s="31" t="s">
        <v>111</v>
      </c>
    </row>
    <row r="5" ht="14.25" customHeight="1">
      <c r="B5" s="32" t="s">
        <v>112</v>
      </c>
    </row>
    <row r="6" ht="14.25" customHeight="1">
      <c r="B6" s="31" t="s">
        <v>113</v>
      </c>
    </row>
    <row r="7" ht="14.25" customHeight="1">
      <c r="B7" s="31" t="s">
        <v>114</v>
      </c>
    </row>
    <row r="8" ht="14.25" customHeight="1">
      <c r="B8" s="32" t="s">
        <v>115</v>
      </c>
    </row>
    <row r="9" ht="14.25" customHeight="1">
      <c r="B9" s="18" t="s">
        <v>116</v>
      </c>
    </row>
    <row r="10" ht="14.25" customHeight="1">
      <c r="B10" s="18" t="s">
        <v>117</v>
      </c>
    </row>
    <row r="11" ht="14.25" customHeight="1">
      <c r="B11" s="18" t="s">
        <v>118</v>
      </c>
    </row>
    <row r="12" ht="14.25" customHeight="1">
      <c r="B12" s="18" t="s">
        <v>119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Patricio Fuentealba</dc:creator>
</cp:coreProperties>
</file>