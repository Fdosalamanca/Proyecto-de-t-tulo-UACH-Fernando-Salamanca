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fernando.salamanca\Desktop\Tesis\python\"/>
    </mc:Choice>
  </mc:AlternateContent>
  <xr:revisionPtr revIDLastSave="0" documentId="13_ncr:1_{E1B565AC-78C3-4EB3-85F7-91F59F0F84CA}" xr6:coauthVersionLast="47" xr6:coauthVersionMax="47" xr10:uidLastSave="{00000000-0000-0000-0000-000000000000}"/>
  <bookViews>
    <workbookView xWindow="-20610" yWindow="-120" windowWidth="20730" windowHeight="11160" xr2:uid="{00000000-000D-0000-FFFF-FFFF00000000}"/>
  </bookViews>
  <sheets>
    <sheet name="Sheet1" sheetId="1" r:id="rId1"/>
    <sheet name="Descripció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OenyRntq8RbnRrYxNNsGMZkg4fgCIsI5ag0Y1tqA58="/>
    </ext>
  </extLst>
</workbook>
</file>

<file path=xl/calcChain.xml><?xml version="1.0" encoding="utf-8"?>
<calcChain xmlns="http://schemas.openxmlformats.org/spreadsheetml/2006/main">
  <c r="L8" i="1" l="1"/>
  <c r="M8" i="1" s="1"/>
  <c r="L43" i="1"/>
  <c r="M43" i="1" s="1"/>
  <c r="L42" i="1"/>
  <c r="M42" i="1" s="1"/>
  <c r="L40" i="1"/>
  <c r="M40" i="1" s="1"/>
  <c r="L39" i="1"/>
  <c r="M39" i="1" s="1"/>
  <c r="L38" i="1"/>
  <c r="M38" i="1" s="1"/>
  <c r="L37" i="1"/>
  <c r="M37" i="1" s="1"/>
  <c r="L36" i="1"/>
  <c r="M36" i="1" s="1"/>
  <c r="L34" i="1"/>
  <c r="M34" i="1" s="1"/>
  <c r="L33" i="1"/>
  <c r="M33" i="1" s="1"/>
  <c r="L32" i="1"/>
  <c r="M32" i="1" s="1"/>
  <c r="L31" i="1"/>
  <c r="M31" i="1" s="1"/>
  <c r="L30" i="1"/>
  <c r="M30" i="1" s="1"/>
  <c r="L29" i="1"/>
  <c r="M29" i="1" s="1"/>
  <c r="L28" i="1"/>
  <c r="I28" i="1"/>
  <c r="L27" i="1"/>
  <c r="M27" i="1" s="1"/>
  <c r="I27" i="1"/>
  <c r="L26" i="1"/>
  <c r="M26" i="1" s="1"/>
  <c r="I26" i="1"/>
  <c r="L24" i="1"/>
  <c r="I24" i="1"/>
  <c r="M24" i="1" s="1"/>
  <c r="L23" i="1"/>
  <c r="I23" i="1"/>
  <c r="L22" i="1"/>
  <c r="I22" i="1"/>
  <c r="L21" i="1"/>
  <c r="I21" i="1"/>
  <c r="L20" i="1"/>
  <c r="M20" i="1" s="1"/>
  <c r="I20" i="1"/>
  <c r="L19" i="1"/>
  <c r="I19" i="1"/>
  <c r="L18" i="1"/>
  <c r="M18" i="1" s="1"/>
  <c r="I18" i="1"/>
  <c r="L17" i="1"/>
  <c r="I17" i="1"/>
  <c r="M16" i="1"/>
  <c r="L16" i="1"/>
  <c r="I16" i="1"/>
  <c r="L15" i="1"/>
  <c r="I15" i="1"/>
  <c r="L14" i="1"/>
  <c r="I14" i="1"/>
  <c r="I13" i="1"/>
  <c r="L12" i="1"/>
  <c r="M12" i="1" s="1"/>
  <c r="I12" i="1"/>
  <c r="L11" i="1"/>
  <c r="I11" i="1"/>
  <c r="M10" i="1"/>
  <c r="L10" i="1"/>
  <c r="I10" i="1"/>
  <c r="L9" i="1"/>
  <c r="I9" i="1"/>
  <c r="I8" i="1"/>
  <c r="L7" i="1"/>
  <c r="I7" i="1"/>
  <c r="L6" i="1"/>
  <c r="M6" i="1" s="1"/>
  <c r="I6" i="1"/>
  <c r="L5" i="1"/>
  <c r="M5" i="1" s="1"/>
  <c r="I5" i="1"/>
  <c r="L4" i="1"/>
  <c r="I4" i="1"/>
  <c r="L3" i="1"/>
  <c r="M3" i="1" s="1"/>
  <c r="I3" i="1"/>
  <c r="L2" i="1"/>
  <c r="M2" i="1" s="1"/>
  <c r="I2" i="1"/>
  <c r="M7" i="1" l="1"/>
  <c r="M9" i="1"/>
  <c r="M15" i="1"/>
  <c r="M4" i="1"/>
  <c r="M11" i="1"/>
  <c r="M17" i="1"/>
  <c r="M19" i="1"/>
  <c r="M14" i="1"/>
  <c r="M21" i="1"/>
  <c r="M23" i="1"/>
  <c r="M28" i="1"/>
  <c r="M22" i="1"/>
</calcChain>
</file>

<file path=xl/sharedStrings.xml><?xml version="1.0" encoding="utf-8"?>
<sst xmlns="http://schemas.openxmlformats.org/spreadsheetml/2006/main" count="198" uniqueCount="121">
  <si>
    <t>Fecha</t>
  </si>
  <si>
    <t>ID_Voluntario</t>
  </si>
  <si>
    <t>ID_VFC</t>
  </si>
  <si>
    <t>ID_audio</t>
  </si>
  <si>
    <t>ID_video</t>
  </si>
  <si>
    <t>n_frames_VFC</t>
  </si>
  <si>
    <t>fs_VFC</t>
  </si>
  <si>
    <t>l_VFC</t>
  </si>
  <si>
    <t>ref_VFC</t>
  </si>
  <si>
    <t>ref_audio</t>
  </si>
  <si>
    <t>cut_i_audio</t>
  </si>
  <si>
    <t>cut_f_audio</t>
  </si>
  <si>
    <t>Sujeto 0</t>
  </si>
  <si>
    <t>Rec003.wav</t>
  </si>
  <si>
    <t>Sujeto 1</t>
  </si>
  <si>
    <t>00000001</t>
  </si>
  <si>
    <t>Rec005.wav</t>
  </si>
  <si>
    <t>Sujeto1_00000001.avi</t>
  </si>
  <si>
    <t>00000002</t>
  </si>
  <si>
    <t>Rec006.wav</t>
  </si>
  <si>
    <t>Sujeto1_00000002.avi</t>
  </si>
  <si>
    <t>00000003</t>
  </si>
  <si>
    <t>Sujeto1_00000003.avi</t>
  </si>
  <si>
    <t>00000004</t>
  </si>
  <si>
    <t>Sujeto1_00000004.avi</t>
  </si>
  <si>
    <t>Sujeto 2</t>
  </si>
  <si>
    <t>Rec008.wav</t>
  </si>
  <si>
    <t>Sujeto2_00000001.avi</t>
  </si>
  <si>
    <t>Rec010.wav</t>
  </si>
  <si>
    <t>Sujeto2_00000002.avi</t>
  </si>
  <si>
    <t xml:space="preserve">17.14*fs excede el largo del audio. </t>
  </si>
  <si>
    <t>Rec011.wav</t>
  </si>
  <si>
    <t>Sujeto2_00000003.avi</t>
  </si>
  <si>
    <t>14.96*fs excede el largo del audio.</t>
  </si>
  <si>
    <t>00000005</t>
  </si>
  <si>
    <t>Rec013.wav</t>
  </si>
  <si>
    <t>Sujeto2_00000005.avi</t>
  </si>
  <si>
    <t>26.17*fs excede el largo del audio.</t>
  </si>
  <si>
    <t>Sujeto 3</t>
  </si>
  <si>
    <t>Rec018.wav</t>
  </si>
  <si>
    <t>Sujeto3_00000001.avi</t>
  </si>
  <si>
    <t>Rec019.wav</t>
  </si>
  <si>
    <t>Sujeto3_00000002.avi</t>
  </si>
  <si>
    <t>Rec020.wav</t>
  </si>
  <si>
    <t>Sujeto3_00000003.avi</t>
  </si>
  <si>
    <t>21.84*fs excede el largo del audio.</t>
  </si>
  <si>
    <t>Rec022.wav</t>
  </si>
  <si>
    <t>Sujeto3_00000004.avi</t>
  </si>
  <si>
    <t>Revisar, no se escucha la deglución</t>
  </si>
  <si>
    <t>23.08 *fs excede el largo del audio. Según el txt es REC021</t>
  </si>
  <si>
    <t>Sujeto 4</t>
  </si>
  <si>
    <t>Rec023.wav</t>
  </si>
  <si>
    <t>Sujeto4_00000001.avi</t>
  </si>
  <si>
    <t>Rec024.wav</t>
  </si>
  <si>
    <t>Sujeto4_00000002.avi</t>
  </si>
  <si>
    <t>Sujeto4_00000003.avi</t>
  </si>
  <si>
    <t>Sujeto4_00000004.avi</t>
  </si>
  <si>
    <t>Sujeto 5</t>
  </si>
  <si>
    <t>00000000</t>
  </si>
  <si>
    <t>Rec026.wav</t>
  </si>
  <si>
    <t>Sujeto5_00000000.avi</t>
  </si>
  <si>
    <t>Rec027.wav</t>
  </si>
  <si>
    <t>Sujeto5_00000001.avi</t>
  </si>
  <si>
    <t>Sujeto5_00000002.avi</t>
  </si>
  <si>
    <t>Sujeto5_00000004.avi</t>
  </si>
  <si>
    <t>Paciente 1</t>
  </si>
  <si>
    <t>No hay datos de saliva</t>
  </si>
  <si>
    <t>Rec030.wav</t>
  </si>
  <si>
    <t>Paciente1_00000002.avi</t>
  </si>
  <si>
    <t>Rec029.wav</t>
  </si>
  <si>
    <t>Paciente1_00000003.avi</t>
  </si>
  <si>
    <t>Paciente1_00000004.avi</t>
  </si>
  <si>
    <t>17/01/2025</t>
  </si>
  <si>
    <t>Paciente 2 (Claudio Ramírez)</t>
  </si>
  <si>
    <t>IDDSI 0.mp4</t>
  </si>
  <si>
    <t>Rec056.wav</t>
  </si>
  <si>
    <t>Claudio Ramirez - IDDSI 0.mp4</t>
  </si>
  <si>
    <t>-</t>
  </si>
  <si>
    <t>No hay golpes de referencia. Se sincroniza con el primer tragado. Solo iddsi0</t>
  </si>
  <si>
    <t>IDDSI 2.mp4</t>
  </si>
  <si>
    <t>Claudio Ramirez - IDDSI 2.mp4</t>
  </si>
  <si>
    <t>IDDSI 4.mp4</t>
  </si>
  <si>
    <t>Claudio Ramirez - IDDSI 4.mp4</t>
  </si>
  <si>
    <t>22/01/2025</t>
  </si>
  <si>
    <t>Paciente 3 (Julia Solis)</t>
  </si>
  <si>
    <t>Rec060.wav</t>
  </si>
  <si>
    <t>Julia Solis - IDDSI 0.mp4</t>
  </si>
  <si>
    <t>Julia Solis - IDDSI 2.mp4</t>
  </si>
  <si>
    <t>Julia Solis - IDDSI 4.mp4</t>
  </si>
  <si>
    <t>Bastante ruido: voz y roce del equipo</t>
  </si>
  <si>
    <t>24/01/2025</t>
  </si>
  <si>
    <t>Paciente 4 (Francisco Tobar)</t>
  </si>
  <si>
    <t>Rec065.wav</t>
  </si>
  <si>
    <t>Francisco Tobar - IDDSI 0</t>
  </si>
  <si>
    <t>Falta el IDSSI 0. El mp4 del IDDSI 0 e IDSSI 2 son idénticos.</t>
  </si>
  <si>
    <t>Francisco Tobar - IDDSI 2</t>
  </si>
  <si>
    <t>Francisco Tobar - IDDSI 4</t>
  </si>
  <si>
    <t>Prácticamente no se escucha el tragado (quizás el micrófono no está haciebdo buen contacto con la piel)</t>
  </si>
  <si>
    <t>Paciente 5 (Francisco Vargas)</t>
  </si>
  <si>
    <t>Rec066.wav</t>
  </si>
  <si>
    <t>Francisco Vargas - IDDSI 0</t>
  </si>
  <si>
    <t>Francisco Vargas - IDDSI 2</t>
  </si>
  <si>
    <t>Francisco Vargas - IDDSI 4</t>
  </si>
  <si>
    <t>Paciente 6 (Carlos Corona)</t>
  </si>
  <si>
    <t>Rec068.wav</t>
  </si>
  <si>
    <t>Falta el IDSSI 0</t>
  </si>
  <si>
    <t>Carlos Corona - IDDSI 2</t>
  </si>
  <si>
    <t>Carlos Corona - IDDSI 4</t>
  </si>
  <si>
    <t>Fecha: Fecha en que se realizó la toma de muestras de VFC y audio</t>
  </si>
  <si>
    <t>ID_Voluntario: N° de sujeto</t>
  </si>
  <si>
    <t>ID_VFC: identificación o nombre de cada serie asociada al archivo DICOM de VFC</t>
  </si>
  <si>
    <t>ID_audio: identificación o nombre del archivo de registro de audio</t>
  </si>
  <si>
    <t>ID_video: identificación o nombre del archivo de video AVI creado a partir del DICOM</t>
  </si>
  <si>
    <t>n_frames_VFC: número de frames de la serie de VFC</t>
  </si>
  <si>
    <t>fs_VFC: frecuencia de muestreo de la captura de VFC</t>
  </si>
  <si>
    <t>l_VFC: Largo total de la serie de VFC en segundos</t>
  </si>
  <si>
    <t>ref_VFC: golpe de referencia con dedo índice en el registro de VFC en segundos con 2 cifras significativas</t>
  </si>
  <si>
    <t>ref_audio: golpe de referencia con dedo índice escuchado en el registro de audio en segundos con 2 cifras significativas</t>
  </si>
  <si>
    <t>cut_i_audio: tiempo para recorte al inicio del audio</t>
  </si>
  <si>
    <t>cut_f_audio: tiempo para recorte al final del audio</t>
  </si>
  <si>
    <t>IDDSI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</si>
</sst>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&quot;-&quot;mm&quot;-&quot;dd"/>
    <numFmt numFmtId="165" formatCode="yyyy\-mm\-dd"/>
    <numFmt numFmtId="166" formatCode="m/d/yyyy"/>
    <numFmt numFmtId="167" formatCode="mm/dd/yyyy"/>
  </numFmts>
  <fonts count="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2" xfId="0" applyFont="1" applyBorder="1" applyAlignment="1">
      <alignment vertical="center"/>
    </xf>
    <xf numFmtId="0" fontId="3" fillId="0" borderId="2" xfId="0" applyFont="1" applyBorder="1"/>
    <xf numFmtId="2" fontId="2" fillId="0" borderId="2" xfId="0" applyNumberFormat="1" applyFont="1" applyBorder="1" applyAlignment="1">
      <alignment vertical="center"/>
    </xf>
    <xf numFmtId="2" fontId="2" fillId="0" borderId="2" xfId="0" applyNumberFormat="1" applyFont="1" applyBorder="1"/>
    <xf numFmtId="0" fontId="1" fillId="0" borderId="0" xfId="0" applyFont="1"/>
    <xf numFmtId="0" fontId="1" fillId="2" borderId="2" xfId="0" applyFont="1" applyFill="1" applyBorder="1"/>
    <xf numFmtId="2" fontId="2" fillId="2" borderId="2" xfId="0" applyNumberFormat="1" applyFont="1" applyFill="1" applyBorder="1" applyAlignment="1">
      <alignment vertical="center"/>
    </xf>
    <xf numFmtId="2" fontId="2" fillId="2" borderId="2" xfId="0" applyNumberFormat="1" applyFont="1" applyFill="1" applyBorder="1"/>
    <xf numFmtId="0" fontId="2" fillId="0" borderId="0" xfId="0" applyFont="1" applyAlignment="1">
      <alignment vertical="center"/>
    </xf>
    <xf numFmtId="0" fontId="1" fillId="0" borderId="6" xfId="0" applyFont="1" applyBorder="1"/>
    <xf numFmtId="0" fontId="2" fillId="0" borderId="12" xfId="0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/>
    </xf>
    <xf numFmtId="0" fontId="0" fillId="0" borderId="5" xfId="0" applyBorder="1"/>
    <xf numFmtId="0" fontId="1" fillId="0" borderId="9" xfId="0" applyFont="1" applyBorder="1" applyAlignment="1">
      <alignment vertical="center"/>
    </xf>
    <xf numFmtId="0" fontId="4" fillId="0" borderId="10" xfId="0" applyFont="1" applyBorder="1"/>
    <xf numFmtId="0" fontId="4" fillId="0" borderId="11" xfId="0" applyFont="1" applyBorder="1"/>
    <xf numFmtId="166" fontId="1" fillId="0" borderId="1" xfId="0" applyNumberFormat="1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167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0" xfId="0" applyFont="1"/>
    <xf numFmtId="0" fontId="4" fillId="0" borderId="8" xfId="0" applyFont="1" applyBorder="1"/>
    <xf numFmtId="165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5"/>
  <sheetViews>
    <sheetView tabSelected="1" workbookViewId="0">
      <pane ySplit="1" topLeftCell="A17" activePane="bottomLeft" state="frozen"/>
      <selection pane="bottomLeft" activeCell="C28" sqref="A28:XFD28"/>
    </sheetView>
  </sheetViews>
  <sheetFormatPr baseColWidth="10" defaultColWidth="14.42578125" defaultRowHeight="15" customHeight="1" x14ac:dyDescent="0.25"/>
  <cols>
    <col min="1" max="1" width="11" customWidth="1"/>
    <col min="2" max="2" width="26" customWidth="1"/>
    <col min="3" max="3" width="6.7109375" customWidth="1"/>
    <col min="4" max="4" width="11.7109375" customWidth="1"/>
    <col min="5" max="5" width="15.7109375" customWidth="1"/>
    <col min="6" max="6" width="22.42578125" customWidth="1"/>
    <col min="7" max="7" width="14.42578125" customWidth="1"/>
    <col min="8" max="8" width="11.7109375" customWidth="1"/>
    <col min="9" max="11" width="11.42578125" customWidth="1"/>
    <col min="12" max="12" width="11.5703125" customWidth="1"/>
    <col min="13" max="13" width="12.28515625" customWidth="1"/>
    <col min="14" max="28" width="8.7109375" customWidth="1"/>
  </cols>
  <sheetData>
    <row r="1" spans="1:15" ht="14.25" customHeight="1" x14ac:dyDescent="0.25">
      <c r="A1" s="1" t="s">
        <v>0</v>
      </c>
      <c r="B1" s="12" t="s">
        <v>1</v>
      </c>
      <c r="C1" s="16" t="s">
        <v>120</v>
      </c>
      <c r="D1" s="1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2" t="s">
        <v>7</v>
      </c>
      <c r="J1" s="2" t="s">
        <v>8</v>
      </c>
      <c r="K1" s="2" t="s">
        <v>9</v>
      </c>
      <c r="L1" s="4" t="s">
        <v>10</v>
      </c>
      <c r="M1" s="4" t="s">
        <v>11</v>
      </c>
    </row>
    <row r="2" spans="1:15" ht="14.25" customHeight="1" x14ac:dyDescent="0.25">
      <c r="A2" s="27">
        <v>45532</v>
      </c>
      <c r="B2" s="28" t="s">
        <v>12</v>
      </c>
      <c r="C2" s="16"/>
      <c r="D2" s="14">
        <v>10000007</v>
      </c>
      <c r="E2" s="3" t="s">
        <v>13</v>
      </c>
      <c r="F2" s="3"/>
      <c r="G2" s="3">
        <v>832</v>
      </c>
      <c r="H2" s="3">
        <v>30</v>
      </c>
      <c r="I2" s="5">
        <f t="shared" ref="I2:I24" si="0">G2/H2</f>
        <v>27.733333333333334</v>
      </c>
      <c r="J2" s="2">
        <v>1.23</v>
      </c>
      <c r="K2" s="2">
        <v>6.96</v>
      </c>
      <c r="L2" s="2">
        <f t="shared" ref="L2:L12" si="1">K2-J2</f>
        <v>5.73</v>
      </c>
      <c r="M2" s="6">
        <f t="shared" ref="M2:M12" si="2">L2+I2</f>
        <v>33.463333333333338</v>
      </c>
    </row>
    <row r="3" spans="1:15" ht="14.25" customHeight="1" x14ac:dyDescent="0.25">
      <c r="A3" s="21"/>
      <c r="B3" s="29"/>
      <c r="C3" s="16"/>
      <c r="D3" s="14">
        <v>10000009</v>
      </c>
      <c r="E3" s="3" t="s">
        <v>13</v>
      </c>
      <c r="F3" s="2"/>
      <c r="G3" s="2">
        <v>761</v>
      </c>
      <c r="H3" s="3">
        <v>30</v>
      </c>
      <c r="I3" s="5">
        <f t="shared" si="0"/>
        <v>25.366666666666667</v>
      </c>
      <c r="J3" s="3">
        <v>1.27</v>
      </c>
      <c r="K3" s="3">
        <v>79.72</v>
      </c>
      <c r="L3" s="2">
        <f t="shared" si="1"/>
        <v>78.45</v>
      </c>
      <c r="M3" s="6">
        <f t="shared" si="2"/>
        <v>103.81666666666666</v>
      </c>
    </row>
    <row r="4" spans="1:15" ht="14.25" customHeight="1" x14ac:dyDescent="0.25">
      <c r="A4" s="22"/>
      <c r="B4" s="30"/>
      <c r="C4" s="16"/>
      <c r="D4" s="14">
        <v>10000005</v>
      </c>
      <c r="E4" s="3" t="s">
        <v>13</v>
      </c>
      <c r="F4" s="2"/>
      <c r="G4" s="2">
        <v>829</v>
      </c>
      <c r="H4" s="2">
        <v>30</v>
      </c>
      <c r="I4" s="5">
        <f t="shared" si="0"/>
        <v>27.633333333333333</v>
      </c>
      <c r="J4" s="2">
        <v>0.83</v>
      </c>
      <c r="K4" s="2">
        <v>129.22</v>
      </c>
      <c r="L4" s="2">
        <f t="shared" si="1"/>
        <v>128.38999999999999</v>
      </c>
      <c r="M4" s="6">
        <f t="shared" si="2"/>
        <v>156.02333333333331</v>
      </c>
    </row>
    <row r="5" spans="1:15" ht="14.25" customHeight="1" x14ac:dyDescent="0.25">
      <c r="A5" s="31">
        <v>45548</v>
      </c>
      <c r="B5" s="28" t="s">
        <v>14</v>
      </c>
      <c r="C5" s="16"/>
      <c r="D5" s="15" t="s">
        <v>15</v>
      </c>
      <c r="E5" s="3" t="s">
        <v>16</v>
      </c>
      <c r="F5" s="2" t="s">
        <v>17</v>
      </c>
      <c r="G5" s="2">
        <v>736</v>
      </c>
      <c r="H5" s="2">
        <v>30</v>
      </c>
      <c r="I5" s="5">
        <f t="shared" si="0"/>
        <v>24.533333333333335</v>
      </c>
      <c r="J5" s="2">
        <v>2.5299999999999998</v>
      </c>
      <c r="K5" s="2">
        <v>6.53</v>
      </c>
      <c r="L5" s="2">
        <f t="shared" si="1"/>
        <v>4</v>
      </c>
      <c r="M5" s="6">
        <f t="shared" si="2"/>
        <v>28.533333333333335</v>
      </c>
    </row>
    <row r="6" spans="1:15" ht="14.25" customHeight="1" x14ac:dyDescent="0.25">
      <c r="A6" s="21"/>
      <c r="B6" s="29"/>
      <c r="C6" s="16">
        <v>0</v>
      </c>
      <c r="D6" s="15" t="s">
        <v>18</v>
      </c>
      <c r="E6" s="2" t="s">
        <v>19</v>
      </c>
      <c r="F6" s="2" t="s">
        <v>20</v>
      </c>
      <c r="G6" s="2">
        <v>493</v>
      </c>
      <c r="H6" s="2">
        <v>30</v>
      </c>
      <c r="I6" s="5">
        <f t="shared" si="0"/>
        <v>16.433333333333334</v>
      </c>
      <c r="J6" s="2">
        <v>1.03</v>
      </c>
      <c r="K6" s="2">
        <v>4.7</v>
      </c>
      <c r="L6" s="2">
        <f t="shared" si="1"/>
        <v>3.67</v>
      </c>
      <c r="M6" s="6">
        <f t="shared" si="2"/>
        <v>20.103333333333332</v>
      </c>
    </row>
    <row r="7" spans="1:15" ht="14.25" customHeight="1" x14ac:dyDescent="0.25">
      <c r="A7" s="21"/>
      <c r="B7" s="29"/>
      <c r="C7" s="16">
        <v>2</v>
      </c>
      <c r="D7" s="15" t="s">
        <v>21</v>
      </c>
      <c r="E7" s="2" t="s">
        <v>19</v>
      </c>
      <c r="F7" s="2" t="s">
        <v>22</v>
      </c>
      <c r="G7" s="7">
        <v>387</v>
      </c>
      <c r="H7" s="7">
        <v>30</v>
      </c>
      <c r="I7" s="5">
        <f t="shared" si="0"/>
        <v>12.9</v>
      </c>
      <c r="J7" s="7">
        <v>3.02</v>
      </c>
      <c r="K7" s="7">
        <v>37.450000000000003</v>
      </c>
      <c r="L7" s="2">
        <f t="shared" si="1"/>
        <v>34.43</v>
      </c>
      <c r="M7" s="6">
        <f t="shared" si="2"/>
        <v>47.33</v>
      </c>
    </row>
    <row r="8" spans="1:15" ht="14.25" customHeight="1" x14ac:dyDescent="0.25">
      <c r="A8" s="22"/>
      <c r="B8" s="30"/>
      <c r="C8" s="16">
        <v>4</v>
      </c>
      <c r="D8" s="15" t="s">
        <v>23</v>
      </c>
      <c r="E8" s="2" t="s">
        <v>19</v>
      </c>
      <c r="F8" s="2" t="s">
        <v>24</v>
      </c>
      <c r="G8" s="2">
        <v>745</v>
      </c>
      <c r="H8" s="2">
        <v>30</v>
      </c>
      <c r="I8" s="5">
        <f t="shared" si="0"/>
        <v>24.833333333333332</v>
      </c>
      <c r="J8" s="2">
        <v>3.73</v>
      </c>
      <c r="K8" s="2">
        <v>60.4</v>
      </c>
      <c r="L8" s="2">
        <f>K8-J8</f>
        <v>56.67</v>
      </c>
      <c r="M8" s="6">
        <f t="shared" si="2"/>
        <v>81.50333333333333</v>
      </c>
    </row>
    <row r="9" spans="1:15" ht="14.25" customHeight="1" x14ac:dyDescent="0.25">
      <c r="A9" s="31">
        <v>45562</v>
      </c>
      <c r="B9" s="28" t="s">
        <v>25</v>
      </c>
      <c r="C9" s="16"/>
      <c r="D9" s="15" t="s">
        <v>15</v>
      </c>
      <c r="E9" s="2" t="s">
        <v>26</v>
      </c>
      <c r="F9" s="2" t="s">
        <v>27</v>
      </c>
      <c r="G9" s="2">
        <v>203</v>
      </c>
      <c r="H9" s="2">
        <v>30</v>
      </c>
      <c r="I9" s="5">
        <f t="shared" si="0"/>
        <v>6.7666666666666666</v>
      </c>
      <c r="J9" s="2">
        <v>0.87</v>
      </c>
      <c r="K9" s="2">
        <v>8.2100000000000009</v>
      </c>
      <c r="L9" s="2">
        <f t="shared" si="1"/>
        <v>7.3400000000000007</v>
      </c>
      <c r="M9" s="6">
        <f t="shared" si="2"/>
        <v>14.106666666666667</v>
      </c>
    </row>
    <row r="10" spans="1:15" ht="14.25" customHeight="1" x14ac:dyDescent="0.25">
      <c r="A10" s="21"/>
      <c r="B10" s="29"/>
      <c r="C10" s="16">
        <v>0</v>
      </c>
      <c r="D10" s="15" t="s">
        <v>18</v>
      </c>
      <c r="E10" s="2" t="s">
        <v>28</v>
      </c>
      <c r="F10" s="2" t="s">
        <v>29</v>
      </c>
      <c r="G10" s="2">
        <v>465</v>
      </c>
      <c r="H10" s="2">
        <v>30</v>
      </c>
      <c r="I10" s="5">
        <f t="shared" si="0"/>
        <v>15.5</v>
      </c>
      <c r="J10" s="2">
        <v>0.32</v>
      </c>
      <c r="K10" s="2">
        <v>1.9550000000000001</v>
      </c>
      <c r="L10" s="2">
        <f t="shared" si="1"/>
        <v>1.635</v>
      </c>
      <c r="M10" s="6">
        <f t="shared" si="2"/>
        <v>17.135000000000002</v>
      </c>
      <c r="N10" s="7" t="s">
        <v>30</v>
      </c>
    </row>
    <row r="11" spans="1:15" ht="14.25" customHeight="1" x14ac:dyDescent="0.25">
      <c r="A11" s="21"/>
      <c r="B11" s="29"/>
      <c r="C11" s="16">
        <v>2</v>
      </c>
      <c r="D11" s="15" t="s">
        <v>21</v>
      </c>
      <c r="E11" s="2" t="s">
        <v>31</v>
      </c>
      <c r="F11" s="2" t="s">
        <v>32</v>
      </c>
      <c r="G11" s="2">
        <v>391</v>
      </c>
      <c r="H11" s="2">
        <v>30</v>
      </c>
      <c r="I11" s="5">
        <f t="shared" si="0"/>
        <v>13.033333333333333</v>
      </c>
      <c r="J11" s="2">
        <v>2.69</v>
      </c>
      <c r="K11" s="2">
        <v>4.617</v>
      </c>
      <c r="L11" s="2">
        <f t="shared" si="1"/>
        <v>1.927</v>
      </c>
      <c r="M11" s="6">
        <f t="shared" si="2"/>
        <v>14.960333333333333</v>
      </c>
      <c r="N11" s="7" t="s">
        <v>33</v>
      </c>
    </row>
    <row r="12" spans="1:15" ht="14.25" customHeight="1" x14ac:dyDescent="0.25">
      <c r="A12" s="21"/>
      <c r="B12" s="30"/>
      <c r="C12" s="16">
        <v>4</v>
      </c>
      <c r="D12" s="15" t="s">
        <v>34</v>
      </c>
      <c r="E12" s="2" t="s">
        <v>35</v>
      </c>
      <c r="F12" s="2" t="s">
        <v>36</v>
      </c>
      <c r="G12" s="2">
        <v>741</v>
      </c>
      <c r="H12" s="2">
        <v>30</v>
      </c>
      <c r="I12" s="5">
        <f t="shared" si="0"/>
        <v>24.7</v>
      </c>
      <c r="J12" s="2">
        <v>1.87</v>
      </c>
      <c r="K12" s="2">
        <v>3.34</v>
      </c>
      <c r="L12" s="2">
        <f t="shared" si="1"/>
        <v>1.4699999999999998</v>
      </c>
      <c r="M12" s="6">
        <f t="shared" si="2"/>
        <v>26.169999999999998</v>
      </c>
      <c r="N12" s="7" t="s">
        <v>37</v>
      </c>
    </row>
    <row r="13" spans="1:15" ht="14.25" customHeight="1" x14ac:dyDescent="0.25">
      <c r="A13" s="21"/>
      <c r="B13" s="28" t="s">
        <v>38</v>
      </c>
      <c r="C13" s="16"/>
      <c r="D13" s="15" t="s">
        <v>15</v>
      </c>
      <c r="E13" s="2" t="s">
        <v>39</v>
      </c>
      <c r="F13" s="2" t="s">
        <v>40</v>
      </c>
      <c r="G13" s="2">
        <v>198</v>
      </c>
      <c r="H13" s="2">
        <v>30</v>
      </c>
      <c r="I13" s="5">
        <f t="shared" si="0"/>
        <v>6.6</v>
      </c>
      <c r="J13" s="8"/>
      <c r="K13" s="8"/>
      <c r="L13" s="8"/>
      <c r="M13" s="8"/>
    </row>
    <row r="14" spans="1:15" ht="14.25" customHeight="1" x14ac:dyDescent="0.25">
      <c r="A14" s="21"/>
      <c r="B14" s="29"/>
      <c r="C14" s="16">
        <v>0</v>
      </c>
      <c r="D14" s="15" t="s">
        <v>18</v>
      </c>
      <c r="E14" s="2" t="s">
        <v>41</v>
      </c>
      <c r="F14" s="2" t="s">
        <v>42</v>
      </c>
      <c r="G14" s="2">
        <v>562</v>
      </c>
      <c r="H14" s="2">
        <v>30</v>
      </c>
      <c r="I14" s="5">
        <f t="shared" si="0"/>
        <v>18.733333333333334</v>
      </c>
      <c r="J14" s="2">
        <v>1.23</v>
      </c>
      <c r="K14" s="2">
        <v>1.87</v>
      </c>
      <c r="L14" s="2">
        <f t="shared" ref="L14:L24" si="3">K14-J14</f>
        <v>0.64000000000000012</v>
      </c>
      <c r="M14" s="6">
        <f t="shared" ref="M14:M24" si="4">L14+I14</f>
        <v>19.373333333333335</v>
      </c>
    </row>
    <row r="15" spans="1:15" ht="14.25" customHeight="1" x14ac:dyDescent="0.25">
      <c r="A15" s="21"/>
      <c r="B15" s="29"/>
      <c r="C15" s="16">
        <v>2</v>
      </c>
      <c r="D15" s="15" t="s">
        <v>21</v>
      </c>
      <c r="E15" s="2" t="s">
        <v>43</v>
      </c>
      <c r="F15" s="2" t="s">
        <v>44</v>
      </c>
      <c r="G15" s="2">
        <v>653</v>
      </c>
      <c r="H15" s="2">
        <v>30</v>
      </c>
      <c r="I15" s="5">
        <f t="shared" si="0"/>
        <v>21.766666666666666</v>
      </c>
      <c r="J15" s="2">
        <v>0.95</v>
      </c>
      <c r="K15" s="2">
        <v>1.02</v>
      </c>
      <c r="L15" s="2">
        <f t="shared" si="3"/>
        <v>7.0000000000000062E-2</v>
      </c>
      <c r="M15" s="6">
        <f t="shared" si="4"/>
        <v>21.836666666666666</v>
      </c>
      <c r="N15" s="7" t="s">
        <v>45</v>
      </c>
    </row>
    <row r="16" spans="1:15" ht="14.25" customHeight="1" x14ac:dyDescent="0.25">
      <c r="A16" s="22"/>
      <c r="B16" s="30"/>
      <c r="C16" s="16">
        <v>4</v>
      </c>
      <c r="D16" s="15" t="s">
        <v>23</v>
      </c>
      <c r="E16" s="2" t="s">
        <v>46</v>
      </c>
      <c r="F16" s="2" t="s">
        <v>47</v>
      </c>
      <c r="G16" s="2">
        <v>685</v>
      </c>
      <c r="H16" s="2">
        <v>30</v>
      </c>
      <c r="I16" s="5">
        <f t="shared" si="0"/>
        <v>22.833333333333332</v>
      </c>
      <c r="J16" s="2">
        <v>1.41</v>
      </c>
      <c r="K16" s="2">
        <v>1.66</v>
      </c>
      <c r="L16" s="2">
        <f t="shared" si="3"/>
        <v>0.25</v>
      </c>
      <c r="M16" s="6">
        <f t="shared" si="4"/>
        <v>23.083333333333332</v>
      </c>
      <c r="N16" s="7" t="s">
        <v>48</v>
      </c>
      <c r="O16" s="7" t="s">
        <v>49</v>
      </c>
    </row>
    <row r="17" spans="1:14" ht="14.25" customHeight="1" x14ac:dyDescent="0.25">
      <c r="A17" s="20">
        <v>45569</v>
      </c>
      <c r="B17" s="23" t="s">
        <v>50</v>
      </c>
      <c r="C17" s="16"/>
      <c r="D17" s="15" t="s">
        <v>15</v>
      </c>
      <c r="E17" s="2" t="s">
        <v>51</v>
      </c>
      <c r="F17" s="2" t="s">
        <v>52</v>
      </c>
      <c r="G17" s="2">
        <v>180</v>
      </c>
      <c r="H17" s="2">
        <v>30</v>
      </c>
      <c r="I17" s="5">
        <f t="shared" si="0"/>
        <v>6</v>
      </c>
      <c r="J17" s="2">
        <v>4.12</v>
      </c>
      <c r="K17" s="2">
        <v>49.78</v>
      </c>
      <c r="L17" s="2">
        <f t="shared" si="3"/>
        <v>45.660000000000004</v>
      </c>
      <c r="M17" s="6">
        <f t="shared" si="4"/>
        <v>51.660000000000004</v>
      </c>
    </row>
    <row r="18" spans="1:14" ht="15" customHeight="1" x14ac:dyDescent="0.25">
      <c r="A18" s="21"/>
      <c r="B18" s="18"/>
      <c r="C18" s="16">
        <v>0</v>
      </c>
      <c r="D18" s="15" t="s">
        <v>18</v>
      </c>
      <c r="E18" s="2" t="s">
        <v>53</v>
      </c>
      <c r="F18" s="2" t="s">
        <v>54</v>
      </c>
      <c r="G18" s="2">
        <v>497</v>
      </c>
      <c r="H18" s="2">
        <v>30</v>
      </c>
      <c r="I18" s="5">
        <f t="shared" si="0"/>
        <v>16.566666666666666</v>
      </c>
      <c r="J18" s="2">
        <v>1.62</v>
      </c>
      <c r="K18" s="2">
        <v>34</v>
      </c>
      <c r="L18" s="2">
        <f t="shared" si="3"/>
        <v>32.380000000000003</v>
      </c>
      <c r="M18" s="6">
        <f t="shared" si="4"/>
        <v>48.946666666666673</v>
      </c>
    </row>
    <row r="19" spans="1:14" ht="14.25" customHeight="1" x14ac:dyDescent="0.25">
      <c r="A19" s="21"/>
      <c r="B19" s="18"/>
      <c r="C19" s="16">
        <v>2</v>
      </c>
      <c r="D19" s="15" t="s">
        <v>21</v>
      </c>
      <c r="E19" s="2" t="s">
        <v>53</v>
      </c>
      <c r="F19" s="2" t="s">
        <v>55</v>
      </c>
      <c r="G19" s="2">
        <v>487</v>
      </c>
      <c r="H19" s="2">
        <v>30</v>
      </c>
      <c r="I19" s="5">
        <f t="shared" si="0"/>
        <v>16.233333333333334</v>
      </c>
      <c r="J19" s="2">
        <v>1.7</v>
      </c>
      <c r="K19" s="2">
        <v>75.64</v>
      </c>
      <c r="L19" s="2">
        <f t="shared" si="3"/>
        <v>73.94</v>
      </c>
      <c r="M19" s="6">
        <f t="shared" si="4"/>
        <v>90.173333333333332</v>
      </c>
    </row>
    <row r="20" spans="1:14" ht="14.25" customHeight="1" x14ac:dyDescent="0.25">
      <c r="A20" s="22"/>
      <c r="B20" s="19"/>
      <c r="C20" s="16">
        <v>4</v>
      </c>
      <c r="D20" s="15" t="s">
        <v>23</v>
      </c>
      <c r="E20" s="2" t="s">
        <v>53</v>
      </c>
      <c r="F20" s="2" t="s">
        <v>56</v>
      </c>
      <c r="G20" s="2">
        <v>753</v>
      </c>
      <c r="H20" s="2">
        <v>30</v>
      </c>
      <c r="I20" s="5">
        <f t="shared" si="0"/>
        <v>25.1</v>
      </c>
      <c r="J20" s="2">
        <v>1.48</v>
      </c>
      <c r="K20" s="2">
        <v>129.93</v>
      </c>
      <c r="L20" s="2">
        <f t="shared" si="3"/>
        <v>128.45000000000002</v>
      </c>
      <c r="M20" s="6">
        <f t="shared" si="4"/>
        <v>153.55000000000001</v>
      </c>
    </row>
    <row r="21" spans="1:14" ht="14.25" customHeight="1" x14ac:dyDescent="0.25">
      <c r="A21" s="20">
        <v>45569</v>
      </c>
      <c r="B21" s="23" t="s">
        <v>57</v>
      </c>
      <c r="C21" s="16"/>
      <c r="D21" s="15" t="s">
        <v>58</v>
      </c>
      <c r="E21" s="2" t="s">
        <v>59</v>
      </c>
      <c r="F21" s="2" t="s">
        <v>60</v>
      </c>
      <c r="G21" s="2">
        <v>202</v>
      </c>
      <c r="H21" s="2">
        <v>30</v>
      </c>
      <c r="I21" s="5">
        <f t="shared" si="0"/>
        <v>6.7333333333333334</v>
      </c>
      <c r="J21" s="2">
        <v>1.29</v>
      </c>
      <c r="K21" s="2">
        <v>24.21</v>
      </c>
      <c r="L21" s="2">
        <f t="shared" si="3"/>
        <v>22.92</v>
      </c>
      <c r="M21" s="6">
        <f t="shared" si="4"/>
        <v>29.653333333333336</v>
      </c>
    </row>
    <row r="22" spans="1:14" ht="14.25" customHeight="1" x14ac:dyDescent="0.25">
      <c r="A22" s="21"/>
      <c r="B22" s="18"/>
      <c r="C22" s="16">
        <v>0</v>
      </c>
      <c r="D22" s="15" t="s">
        <v>15</v>
      </c>
      <c r="E22" s="2" t="s">
        <v>61</v>
      </c>
      <c r="F22" s="2" t="s">
        <v>62</v>
      </c>
      <c r="G22" s="2">
        <v>486</v>
      </c>
      <c r="H22" s="2">
        <v>30</v>
      </c>
      <c r="I22" s="5">
        <f t="shared" si="0"/>
        <v>16.2</v>
      </c>
      <c r="J22" s="2">
        <v>0.86</v>
      </c>
      <c r="K22" s="2">
        <v>32.020000000000003</v>
      </c>
      <c r="L22" s="2">
        <f t="shared" si="3"/>
        <v>31.160000000000004</v>
      </c>
      <c r="M22" s="6">
        <f t="shared" si="4"/>
        <v>47.36</v>
      </c>
    </row>
    <row r="23" spans="1:14" ht="14.25" customHeight="1" x14ac:dyDescent="0.25">
      <c r="A23" s="21"/>
      <c r="B23" s="18"/>
      <c r="C23" s="16">
        <v>2</v>
      </c>
      <c r="D23" s="15" t="s">
        <v>18</v>
      </c>
      <c r="E23" s="2" t="s">
        <v>61</v>
      </c>
      <c r="F23" s="2" t="s">
        <v>63</v>
      </c>
      <c r="G23" s="2">
        <v>454</v>
      </c>
      <c r="H23" s="2">
        <v>30</v>
      </c>
      <c r="I23" s="5">
        <f t="shared" si="0"/>
        <v>15.133333333333333</v>
      </c>
      <c r="J23" s="2">
        <v>1.44</v>
      </c>
      <c r="K23" s="2">
        <v>93.93</v>
      </c>
      <c r="L23" s="2">
        <f t="shared" si="3"/>
        <v>92.490000000000009</v>
      </c>
      <c r="M23" s="6">
        <f t="shared" si="4"/>
        <v>107.62333333333333</v>
      </c>
    </row>
    <row r="24" spans="1:14" ht="14.25" customHeight="1" x14ac:dyDescent="0.25">
      <c r="A24" s="22"/>
      <c r="B24" s="19"/>
      <c r="C24" s="16">
        <v>4</v>
      </c>
      <c r="D24" s="15" t="s">
        <v>23</v>
      </c>
      <c r="E24" s="2" t="s">
        <v>61</v>
      </c>
      <c r="F24" s="2" t="s">
        <v>64</v>
      </c>
      <c r="G24" s="2">
        <v>812</v>
      </c>
      <c r="H24" s="2">
        <v>30</v>
      </c>
      <c r="I24" s="5">
        <f t="shared" si="0"/>
        <v>27.066666666666666</v>
      </c>
      <c r="J24" s="2">
        <v>0.75</v>
      </c>
      <c r="K24" s="2">
        <v>140.9</v>
      </c>
      <c r="L24" s="2">
        <f t="shared" si="3"/>
        <v>140.15</v>
      </c>
      <c r="M24" s="6">
        <f t="shared" si="4"/>
        <v>167.21666666666667</v>
      </c>
    </row>
    <row r="25" spans="1:14" ht="14.25" customHeight="1" x14ac:dyDescent="0.25">
      <c r="A25" s="20">
        <v>45588</v>
      </c>
      <c r="B25" s="17" t="s">
        <v>65</v>
      </c>
      <c r="C25" s="16"/>
      <c r="D25" s="15" t="s">
        <v>15</v>
      </c>
      <c r="E25" s="8"/>
      <c r="F25" s="8"/>
      <c r="G25" s="8"/>
      <c r="H25" s="8"/>
      <c r="I25" s="9"/>
      <c r="J25" s="8"/>
      <c r="K25" s="8"/>
      <c r="L25" s="8"/>
      <c r="M25" s="8"/>
      <c r="N25" s="7" t="s">
        <v>66</v>
      </c>
    </row>
    <row r="26" spans="1:14" ht="14.25" customHeight="1" x14ac:dyDescent="0.25">
      <c r="A26" s="21"/>
      <c r="B26" s="18"/>
      <c r="C26" s="16">
        <v>0</v>
      </c>
      <c r="D26" s="15" t="s">
        <v>18</v>
      </c>
      <c r="E26" s="2" t="s">
        <v>67</v>
      </c>
      <c r="F26" s="2" t="s">
        <v>68</v>
      </c>
      <c r="G26" s="2">
        <v>1380</v>
      </c>
      <c r="H26" s="2">
        <v>30</v>
      </c>
      <c r="I26" s="5">
        <f t="shared" ref="I26:I28" si="5">G26/H26</f>
        <v>46</v>
      </c>
      <c r="J26" s="2">
        <v>2.21</v>
      </c>
      <c r="K26" s="2">
        <v>18.77</v>
      </c>
      <c r="L26" s="2">
        <f t="shared" ref="L26:L34" si="6">K26-J26</f>
        <v>16.559999999999999</v>
      </c>
      <c r="M26" s="6">
        <f t="shared" ref="M26:M34" si="7">L26+I26</f>
        <v>62.56</v>
      </c>
    </row>
    <row r="27" spans="1:14" ht="14.25" customHeight="1" x14ac:dyDescent="0.25">
      <c r="A27" s="21"/>
      <c r="B27" s="18"/>
      <c r="C27" s="16">
        <v>2</v>
      </c>
      <c r="D27" s="15" t="s">
        <v>21</v>
      </c>
      <c r="E27" s="2" t="s">
        <v>69</v>
      </c>
      <c r="F27" s="2" t="s">
        <v>70</v>
      </c>
      <c r="G27" s="2">
        <v>1111</v>
      </c>
      <c r="H27" s="2">
        <v>30</v>
      </c>
      <c r="I27" s="5">
        <f t="shared" si="5"/>
        <v>37.033333333333331</v>
      </c>
      <c r="J27" s="2">
        <v>0.56999999999999995</v>
      </c>
      <c r="K27" s="2">
        <v>48.68</v>
      </c>
      <c r="L27" s="2">
        <f t="shared" si="6"/>
        <v>48.11</v>
      </c>
      <c r="M27" s="6">
        <f t="shared" si="7"/>
        <v>85.143333333333331</v>
      </c>
    </row>
    <row r="28" spans="1:14" ht="14.25" customHeight="1" x14ac:dyDescent="0.25">
      <c r="A28" s="22"/>
      <c r="B28" s="19"/>
      <c r="C28" s="16">
        <v>4</v>
      </c>
      <c r="D28" s="15" t="s">
        <v>23</v>
      </c>
      <c r="E28" s="2" t="s">
        <v>69</v>
      </c>
      <c r="F28" s="2" t="s">
        <v>71</v>
      </c>
      <c r="G28" s="2">
        <v>1776</v>
      </c>
      <c r="H28" s="2">
        <v>30</v>
      </c>
      <c r="I28" s="5">
        <f t="shared" si="5"/>
        <v>59.2</v>
      </c>
      <c r="J28" s="2">
        <v>0.93</v>
      </c>
      <c r="K28" s="2">
        <v>141.74</v>
      </c>
      <c r="L28" s="2">
        <f t="shared" si="6"/>
        <v>140.81</v>
      </c>
      <c r="M28" s="6">
        <f t="shared" si="7"/>
        <v>200.01</v>
      </c>
    </row>
    <row r="29" spans="1:14" ht="14.25" customHeight="1" x14ac:dyDescent="0.25">
      <c r="A29" s="25" t="s">
        <v>72</v>
      </c>
      <c r="B29" s="24" t="s">
        <v>73</v>
      </c>
      <c r="C29" s="16"/>
      <c r="D29" s="15" t="s">
        <v>74</v>
      </c>
      <c r="E29" s="2" t="s">
        <v>75</v>
      </c>
      <c r="F29" s="2" t="s">
        <v>76</v>
      </c>
      <c r="G29" s="2" t="s">
        <v>77</v>
      </c>
      <c r="H29" s="2" t="s">
        <v>77</v>
      </c>
      <c r="I29" s="5">
        <v>28.34</v>
      </c>
      <c r="J29" s="2">
        <v>8.01</v>
      </c>
      <c r="K29" s="2">
        <v>123.05</v>
      </c>
      <c r="L29" s="2">
        <f t="shared" si="6"/>
        <v>115.03999999999999</v>
      </c>
      <c r="M29" s="6">
        <f t="shared" si="7"/>
        <v>143.38</v>
      </c>
      <c r="N29" s="7" t="s">
        <v>78</v>
      </c>
    </row>
    <row r="30" spans="1:14" ht="14.25" customHeight="1" x14ac:dyDescent="0.25">
      <c r="A30" s="21"/>
      <c r="B30" s="18"/>
      <c r="C30" s="16"/>
      <c r="D30" s="15" t="s">
        <v>79</v>
      </c>
      <c r="E30" s="2" t="s">
        <v>75</v>
      </c>
      <c r="F30" s="2" t="s">
        <v>80</v>
      </c>
      <c r="G30" s="2" t="s">
        <v>77</v>
      </c>
      <c r="H30" s="2" t="s">
        <v>77</v>
      </c>
      <c r="I30" s="5">
        <v>36.795000000000002</v>
      </c>
      <c r="J30" s="2">
        <v>0.2</v>
      </c>
      <c r="K30" s="2">
        <v>203.3</v>
      </c>
      <c r="L30" s="2">
        <f t="shared" si="6"/>
        <v>203.10000000000002</v>
      </c>
      <c r="M30" s="6">
        <f t="shared" si="7"/>
        <v>239.89500000000004</v>
      </c>
    </row>
    <row r="31" spans="1:14" ht="14.25" customHeight="1" x14ac:dyDescent="0.25">
      <c r="A31" s="22"/>
      <c r="B31" s="19"/>
      <c r="C31" s="16"/>
      <c r="D31" s="15" t="s">
        <v>81</v>
      </c>
      <c r="E31" s="2" t="s">
        <v>75</v>
      </c>
      <c r="F31" s="2" t="s">
        <v>82</v>
      </c>
      <c r="G31" s="2" t="s">
        <v>77</v>
      </c>
      <c r="H31" s="2" t="s">
        <v>77</v>
      </c>
      <c r="I31" s="5">
        <v>41.88</v>
      </c>
      <c r="J31" s="2">
        <v>0.7</v>
      </c>
      <c r="K31" s="2">
        <v>299.89999999999998</v>
      </c>
      <c r="L31" s="2">
        <f t="shared" si="6"/>
        <v>299.2</v>
      </c>
      <c r="M31" s="6">
        <f t="shared" si="7"/>
        <v>341.08</v>
      </c>
    </row>
    <row r="32" spans="1:14" ht="14.25" customHeight="1" x14ac:dyDescent="0.25">
      <c r="A32" s="25" t="s">
        <v>83</v>
      </c>
      <c r="B32" s="17" t="s">
        <v>84</v>
      </c>
      <c r="C32" s="16"/>
      <c r="D32" s="15" t="s">
        <v>74</v>
      </c>
      <c r="E32" s="2" t="s">
        <v>85</v>
      </c>
      <c r="F32" s="2" t="s">
        <v>86</v>
      </c>
      <c r="G32" s="2" t="s">
        <v>77</v>
      </c>
      <c r="H32" s="2" t="s">
        <v>77</v>
      </c>
      <c r="I32" s="2">
        <v>37.450000000000003</v>
      </c>
      <c r="J32" s="2">
        <v>2.97</v>
      </c>
      <c r="K32" s="2">
        <v>4.63</v>
      </c>
      <c r="L32" s="2">
        <f t="shared" si="6"/>
        <v>1.6599999999999997</v>
      </c>
      <c r="M32" s="6">
        <f t="shared" si="7"/>
        <v>39.11</v>
      </c>
    </row>
    <row r="33" spans="1:14" ht="14.25" customHeight="1" x14ac:dyDescent="0.25">
      <c r="A33" s="21"/>
      <c r="B33" s="18"/>
      <c r="C33" s="16"/>
      <c r="D33" s="15" t="s">
        <v>79</v>
      </c>
      <c r="E33" s="2" t="s">
        <v>85</v>
      </c>
      <c r="F33" s="2" t="s">
        <v>87</v>
      </c>
      <c r="G33" s="2" t="s">
        <v>77</v>
      </c>
      <c r="H33" s="2" t="s">
        <v>77</v>
      </c>
      <c r="I33" s="2">
        <v>22.14</v>
      </c>
      <c r="J33" s="2">
        <v>1.27</v>
      </c>
      <c r="K33" s="2">
        <v>95.57</v>
      </c>
      <c r="L33" s="2">
        <f t="shared" si="6"/>
        <v>94.3</v>
      </c>
      <c r="M33" s="6">
        <f t="shared" si="7"/>
        <v>116.44</v>
      </c>
    </row>
    <row r="34" spans="1:14" ht="14.25" customHeight="1" x14ac:dyDescent="0.25">
      <c r="A34" s="22"/>
      <c r="B34" s="19"/>
      <c r="C34" s="16"/>
      <c r="D34" s="15" t="s">
        <v>81</v>
      </c>
      <c r="E34" s="2" t="s">
        <v>85</v>
      </c>
      <c r="F34" s="2" t="s">
        <v>88</v>
      </c>
      <c r="G34" s="2" t="s">
        <v>77</v>
      </c>
      <c r="H34" s="2" t="s">
        <v>77</v>
      </c>
      <c r="I34" s="2">
        <v>45.57</v>
      </c>
      <c r="J34" s="2">
        <v>1.24</v>
      </c>
      <c r="K34" s="2">
        <v>257.01</v>
      </c>
      <c r="L34" s="2">
        <f t="shared" si="6"/>
        <v>255.76999999999998</v>
      </c>
      <c r="M34" s="6">
        <f t="shared" si="7"/>
        <v>301.33999999999997</v>
      </c>
      <c r="N34" s="7" t="s">
        <v>89</v>
      </c>
    </row>
    <row r="35" spans="1:14" ht="14.25" customHeight="1" x14ac:dyDescent="0.25">
      <c r="A35" s="25" t="s">
        <v>90</v>
      </c>
      <c r="B35" s="17" t="s">
        <v>91</v>
      </c>
      <c r="C35" s="16"/>
      <c r="D35" s="15" t="s">
        <v>74</v>
      </c>
      <c r="E35" s="2" t="s">
        <v>92</v>
      </c>
      <c r="F35" s="2" t="s">
        <v>93</v>
      </c>
      <c r="G35" s="2" t="s">
        <v>77</v>
      </c>
      <c r="H35" s="2" t="s">
        <v>77</v>
      </c>
      <c r="I35" s="8"/>
      <c r="J35" s="8"/>
      <c r="K35" s="8"/>
      <c r="L35" s="8"/>
      <c r="M35" s="10"/>
      <c r="N35" s="7" t="s">
        <v>94</v>
      </c>
    </row>
    <row r="36" spans="1:14" ht="14.25" customHeight="1" x14ac:dyDescent="0.25">
      <c r="A36" s="21"/>
      <c r="B36" s="18"/>
      <c r="C36" s="16"/>
      <c r="D36" s="15" t="s">
        <v>79</v>
      </c>
      <c r="E36" s="2" t="s">
        <v>92</v>
      </c>
      <c r="F36" s="2" t="s">
        <v>95</v>
      </c>
      <c r="G36" s="2" t="s">
        <v>77</v>
      </c>
      <c r="H36" s="2" t="s">
        <v>77</v>
      </c>
      <c r="I36" s="2">
        <v>52.21</v>
      </c>
      <c r="J36" s="2">
        <v>3.13</v>
      </c>
      <c r="K36" s="2">
        <v>169.25</v>
      </c>
      <c r="L36" s="2">
        <f t="shared" ref="L36:L40" si="8">K36-J36</f>
        <v>166.12</v>
      </c>
      <c r="M36" s="6">
        <f t="shared" ref="M36:M40" si="9">L36+I36</f>
        <v>218.33</v>
      </c>
    </row>
    <row r="37" spans="1:14" ht="14.25" customHeight="1" x14ac:dyDescent="0.25">
      <c r="A37" s="22"/>
      <c r="B37" s="19"/>
      <c r="C37" s="16"/>
      <c r="D37" s="15" t="s">
        <v>81</v>
      </c>
      <c r="E37" s="2" t="s">
        <v>92</v>
      </c>
      <c r="F37" s="2" t="s">
        <v>96</v>
      </c>
      <c r="G37" s="2" t="s">
        <v>77</v>
      </c>
      <c r="H37" s="2" t="s">
        <v>77</v>
      </c>
      <c r="I37" s="2">
        <v>40.159999999999997</v>
      </c>
      <c r="J37" s="2">
        <v>1.28</v>
      </c>
      <c r="K37" s="2">
        <v>287.93</v>
      </c>
      <c r="L37" s="2">
        <f t="shared" si="8"/>
        <v>286.65000000000003</v>
      </c>
      <c r="M37" s="6">
        <f t="shared" si="9"/>
        <v>326.81000000000006</v>
      </c>
      <c r="N37" s="7" t="s">
        <v>97</v>
      </c>
    </row>
    <row r="38" spans="1:14" ht="14.25" customHeight="1" x14ac:dyDescent="0.25">
      <c r="A38" s="25" t="s">
        <v>90</v>
      </c>
      <c r="B38" s="17" t="s">
        <v>98</v>
      </c>
      <c r="C38" s="16"/>
      <c r="D38" s="15" t="s">
        <v>74</v>
      </c>
      <c r="E38" s="2" t="s">
        <v>99</v>
      </c>
      <c r="F38" s="2" t="s">
        <v>100</v>
      </c>
      <c r="G38" s="2" t="s">
        <v>77</v>
      </c>
      <c r="H38" s="2" t="s">
        <v>77</v>
      </c>
      <c r="I38" s="2">
        <v>21.32</v>
      </c>
      <c r="J38" s="2">
        <v>1.1100000000000001</v>
      </c>
      <c r="K38" s="2">
        <v>90.71</v>
      </c>
      <c r="L38" s="2">
        <f t="shared" si="8"/>
        <v>89.6</v>
      </c>
      <c r="M38" s="6">
        <f t="shared" si="9"/>
        <v>110.91999999999999</v>
      </c>
    </row>
    <row r="39" spans="1:14" ht="14.25" customHeight="1" x14ac:dyDescent="0.25">
      <c r="A39" s="21"/>
      <c r="B39" s="18"/>
      <c r="C39" s="16"/>
      <c r="D39" s="15" t="s">
        <v>79</v>
      </c>
      <c r="E39" s="2" t="s">
        <v>99</v>
      </c>
      <c r="F39" s="2" t="s">
        <v>101</v>
      </c>
      <c r="G39" s="2" t="s">
        <v>77</v>
      </c>
      <c r="H39" s="2" t="s">
        <v>77</v>
      </c>
      <c r="I39" s="2">
        <v>54.42</v>
      </c>
      <c r="J39" s="2">
        <v>0.31</v>
      </c>
      <c r="K39" s="2">
        <v>228.4</v>
      </c>
      <c r="L39" s="2">
        <f t="shared" si="8"/>
        <v>228.09</v>
      </c>
      <c r="M39" s="6">
        <f t="shared" si="9"/>
        <v>282.51</v>
      </c>
    </row>
    <row r="40" spans="1:14" ht="14.25" customHeight="1" x14ac:dyDescent="0.25">
      <c r="A40" s="22"/>
      <c r="B40" s="19"/>
      <c r="C40" s="16"/>
      <c r="D40" s="15" t="s">
        <v>81</v>
      </c>
      <c r="E40" s="2" t="s">
        <v>99</v>
      </c>
      <c r="F40" s="2" t="s">
        <v>102</v>
      </c>
      <c r="G40" s="2" t="s">
        <v>77</v>
      </c>
      <c r="H40" s="2" t="s">
        <v>77</v>
      </c>
      <c r="I40" s="2">
        <v>59.37</v>
      </c>
      <c r="J40" s="2">
        <v>0.59</v>
      </c>
      <c r="K40" s="2">
        <v>634.54999999999995</v>
      </c>
      <c r="L40" s="2">
        <f t="shared" si="8"/>
        <v>633.95999999999992</v>
      </c>
      <c r="M40" s="6">
        <f t="shared" si="9"/>
        <v>693.32999999999993</v>
      </c>
    </row>
    <row r="41" spans="1:14" ht="14.25" customHeight="1" x14ac:dyDescent="0.25">
      <c r="A41" s="26">
        <v>45840</v>
      </c>
      <c r="B41" s="17" t="s">
        <v>103</v>
      </c>
      <c r="C41" s="16"/>
      <c r="D41" s="15" t="s">
        <v>74</v>
      </c>
      <c r="E41" s="2" t="s">
        <v>104</v>
      </c>
      <c r="F41" s="2"/>
      <c r="G41" s="2"/>
      <c r="H41" s="2"/>
      <c r="I41" s="8"/>
      <c r="J41" s="8"/>
      <c r="K41" s="8"/>
      <c r="L41" s="8"/>
      <c r="M41" s="10"/>
      <c r="N41" s="7" t="s">
        <v>105</v>
      </c>
    </row>
    <row r="42" spans="1:14" ht="14.25" customHeight="1" x14ac:dyDescent="0.25">
      <c r="A42" s="21"/>
      <c r="B42" s="18"/>
      <c r="C42" s="16"/>
      <c r="D42" s="15" t="s">
        <v>79</v>
      </c>
      <c r="E42" s="2" t="s">
        <v>104</v>
      </c>
      <c r="F42" s="2" t="s">
        <v>106</v>
      </c>
      <c r="G42" s="2" t="s">
        <v>77</v>
      </c>
      <c r="H42" s="2" t="s">
        <v>77</v>
      </c>
      <c r="I42" s="2">
        <v>32.14</v>
      </c>
      <c r="J42" s="2">
        <v>1.22</v>
      </c>
      <c r="K42" s="2">
        <v>98.68</v>
      </c>
      <c r="L42" s="2">
        <f t="shared" ref="L42:L43" si="10">K42-J42</f>
        <v>97.460000000000008</v>
      </c>
      <c r="M42" s="6">
        <f t="shared" ref="M42:M43" si="11">L42+I42</f>
        <v>129.60000000000002</v>
      </c>
    </row>
    <row r="43" spans="1:14" ht="14.25" customHeight="1" x14ac:dyDescent="0.25">
      <c r="A43" s="22"/>
      <c r="B43" s="19"/>
      <c r="C43" s="16"/>
      <c r="D43" s="15" t="s">
        <v>81</v>
      </c>
      <c r="E43" s="2" t="s">
        <v>104</v>
      </c>
      <c r="F43" s="2" t="s">
        <v>107</v>
      </c>
      <c r="G43" s="2" t="s">
        <v>77</v>
      </c>
      <c r="H43" s="2" t="s">
        <v>77</v>
      </c>
      <c r="I43" s="2">
        <v>38.74</v>
      </c>
      <c r="J43" s="2">
        <v>0.25</v>
      </c>
      <c r="K43" s="2">
        <v>157.28</v>
      </c>
      <c r="L43" s="2">
        <f t="shared" si="10"/>
        <v>157.03</v>
      </c>
      <c r="M43" s="6">
        <f t="shared" si="11"/>
        <v>195.77</v>
      </c>
    </row>
    <row r="44" spans="1:14" ht="14.25" customHeight="1" x14ac:dyDescent="0.25"/>
    <row r="45" spans="1:14" ht="14.25" customHeight="1" x14ac:dyDescent="0.25"/>
    <row r="46" spans="1:14" ht="14.25" customHeight="1" x14ac:dyDescent="0.25"/>
    <row r="47" spans="1:14" ht="14.25" customHeight="1" x14ac:dyDescent="0.25"/>
    <row r="48" spans="1:14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</sheetData>
  <mergeCells count="23">
    <mergeCell ref="A2:A4"/>
    <mergeCell ref="B2:B4"/>
    <mergeCell ref="A5:A8"/>
    <mergeCell ref="B5:B8"/>
    <mergeCell ref="A9:A16"/>
    <mergeCell ref="B9:B12"/>
    <mergeCell ref="B13:B16"/>
    <mergeCell ref="B32:B34"/>
    <mergeCell ref="B35:B37"/>
    <mergeCell ref="B38:B40"/>
    <mergeCell ref="B41:B43"/>
    <mergeCell ref="A17:A20"/>
    <mergeCell ref="B17:B20"/>
    <mergeCell ref="A21:A24"/>
    <mergeCell ref="B21:B24"/>
    <mergeCell ref="A25:A28"/>
    <mergeCell ref="B25:B28"/>
    <mergeCell ref="B29:B31"/>
    <mergeCell ref="A29:A31"/>
    <mergeCell ref="A32:A34"/>
    <mergeCell ref="A35:A37"/>
    <mergeCell ref="A38:A40"/>
    <mergeCell ref="A41:A4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1003"/>
  <sheetViews>
    <sheetView workbookViewId="0"/>
  </sheetViews>
  <sheetFormatPr baseColWidth="10" defaultColWidth="14.42578125" defaultRowHeight="15" customHeight="1" x14ac:dyDescent="0.25"/>
  <cols>
    <col min="1" max="1" width="8.7109375" customWidth="1"/>
    <col min="2" max="2" width="109.5703125" customWidth="1"/>
    <col min="3" max="26" width="8.7109375" customWidth="1"/>
  </cols>
  <sheetData>
    <row r="1" spans="2:2" ht="14.25" customHeight="1" x14ac:dyDescent="0.25">
      <c r="B1" s="7" t="s">
        <v>108</v>
      </c>
    </row>
    <row r="2" spans="2:2" ht="14.25" customHeight="1" x14ac:dyDescent="0.25">
      <c r="B2" s="7" t="s">
        <v>109</v>
      </c>
    </row>
    <row r="3" spans="2:2" ht="14.25" customHeight="1" x14ac:dyDescent="0.25">
      <c r="B3" s="7" t="s">
        <v>110</v>
      </c>
    </row>
    <row r="4" spans="2:2" ht="14.25" customHeight="1" x14ac:dyDescent="0.25">
      <c r="B4" s="11" t="s">
        <v>111</v>
      </c>
    </row>
    <row r="5" spans="2:2" ht="14.25" customHeight="1" x14ac:dyDescent="0.25">
      <c r="B5" s="11" t="s">
        <v>112</v>
      </c>
    </row>
    <row r="6" spans="2:2" ht="14.25" customHeight="1" x14ac:dyDescent="0.25">
      <c r="B6" s="11" t="s">
        <v>113</v>
      </c>
    </row>
    <row r="7" spans="2:2" ht="14.25" customHeight="1" x14ac:dyDescent="0.25">
      <c r="B7" s="11" t="s">
        <v>114</v>
      </c>
    </row>
    <row r="8" spans="2:2" ht="14.25" customHeight="1" x14ac:dyDescent="0.25">
      <c r="B8" s="11" t="s">
        <v>115</v>
      </c>
    </row>
    <row r="9" spans="2:2" ht="14.25" customHeight="1" x14ac:dyDescent="0.25">
      <c r="B9" s="7" t="s">
        <v>116</v>
      </c>
    </row>
    <row r="10" spans="2:2" ht="14.25" customHeight="1" x14ac:dyDescent="0.25">
      <c r="B10" s="7" t="s">
        <v>117</v>
      </c>
    </row>
    <row r="11" spans="2:2" ht="14.25" customHeight="1" x14ac:dyDescent="0.25">
      <c r="B11" s="7" t="s">
        <v>118</v>
      </c>
    </row>
    <row r="12" spans="2:2" ht="14.25" customHeight="1" x14ac:dyDescent="0.25">
      <c r="B12" s="7" t="s">
        <v>119</v>
      </c>
    </row>
    <row r="13" spans="2:2" ht="14.25" customHeight="1" x14ac:dyDescent="0.25"/>
    <row r="14" spans="2:2" ht="14.25" customHeight="1" x14ac:dyDescent="0.25"/>
    <row r="15" spans="2:2" ht="14.25" customHeight="1" x14ac:dyDescent="0.25"/>
    <row r="16" spans="2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Descripción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Fuentealba</dc:creator>
  <cp:lastModifiedBy>Fernando Salamanca V.</cp:lastModifiedBy>
  <dcterms:created xsi:type="dcterms:W3CDTF">2015-06-05T18:17:20Z</dcterms:created>
  <dcterms:modified xsi:type="dcterms:W3CDTF">2025-03-23T02:53:00Z</dcterms:modified>
</cp:coreProperties>
</file>